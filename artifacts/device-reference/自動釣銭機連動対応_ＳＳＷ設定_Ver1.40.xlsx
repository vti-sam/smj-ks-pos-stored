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変更履歴" sheetId="1" r:id="rId4"/>
    <sheet state="visible" name="硬貨部" sheetId="2" r:id="rId5"/>
    <sheet state="visible" name="紙幣部" sheetId="3" r:id="rId6"/>
    <sheet state="visible" name="SSW設定ファイル" sheetId="4" r:id="rId7"/>
  </sheets>
  <externalReferences>
    <externalReference r:id="rId8"/>
  </externalReferences>
  <definedNames>
    <definedName name="_Order1">255</definedName>
    <definedName name="_Order2">255</definedName>
    <definedName name="_Regression_X">[1]表紙!#REF!</definedName>
    <definedName name="AccessDatabase">"C:\WINDOWS\ﾃﾞｽｸﾄｯﾌﾟ\純平95.mdb"</definedName>
    <definedName name="HTML_CodePage">932</definedName>
    <definedName name="HTML_Control">{"'Sheet1'!$A$3:$I$11"}</definedName>
    <definedName name="HTML_Control2">{"'Sheet1'!$A$3:$I$11"}</definedName>
    <definedName name="HTML_Description">""</definedName>
    <definedName name="HTML_Email">""</definedName>
    <definedName name="HTML_Header">"Sheet1"</definedName>
    <definedName name="HTML_LastUpdate">"99/10/16"</definedName>
    <definedName name="HTML_LineAfter">FALSE</definedName>
    <definedName name="HTML_LineBefore">FALSE</definedName>
    <definedName name="HTML_Name">"清水秀樹"</definedName>
    <definedName name="HTML_OBDlg2">TRUE</definedName>
    <definedName name="HTML_OBDlg4">TRUE</definedName>
    <definedName name="HTML_OS">0</definedName>
    <definedName name="HTML_PathFile">"C:\My Documents\"</definedName>
    <definedName name="HTML_Title">"機能関連図"</definedName>
    <definedName name="HTML1_1">"'[ﾌﾟﾗｯﾄﾌｫﾑ.XLS]プラットフォーム 変更分'!$A$1:$G$16"</definedName>
    <definedName name="HTML1_10">""</definedName>
    <definedName name="HTML1_11">1</definedName>
    <definedName name="HTML1_12">"C:\My Documents\変更h_w.htm"</definedName>
    <definedName name="HTML1_2">1</definedName>
    <definedName name="HTML1_3">""</definedName>
    <definedName name="HTML1_4">""</definedName>
    <definedName name="HTML1_5">""</definedName>
    <definedName name="HTML1_6">-4146</definedName>
    <definedName name="HTML1_7">-4146</definedName>
    <definedName name="HTML1_8">""</definedName>
    <definedName name="HTML1_9">""</definedName>
    <definedName name="HTML2_1">"'[ﾌﾟﾗｯﾄﾌｫﾑ.XLS]プラットフォーム 変更分'!$A$1:$G$19"</definedName>
    <definedName name="HTML2_10">""</definedName>
    <definedName name="HTML2_11">1</definedName>
    <definedName name="HTML2_12">"C:\My Documents\変更h_w.htm"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-4146</definedName>
    <definedName name="HTML2_8">""</definedName>
    <definedName name="HTML2_9">""</definedName>
    <definedName name="HTML3_1">"[ﾌﾟﾗｯﾄﾌｫﾑ.XLS]プラットフォーム!$A$1:$G$1656"</definedName>
    <definedName name="HTML3_10">""</definedName>
    <definedName name="HTML3_11">1</definedName>
    <definedName name="HTML3_12">"C:\My Documents\h_wMIN.htm"</definedName>
    <definedName name="HTML3_2">1</definedName>
    <definedName name="HTML3_3">""</definedName>
    <definedName name="HTML3_4">""</definedName>
    <definedName name="HTML3_5">""</definedName>
    <definedName name="HTML3_6">-4146</definedName>
    <definedName name="HTML3_7">-4146</definedName>
    <definedName name="HTML3_8">""</definedName>
    <definedName name="HTML3_9">""</definedName>
    <definedName name="HTMLCount">3</definedName>
    <definedName name="test">[1]表紙!#REF!</definedName>
    <definedName name="ささ">{"'Sheet1'!$A$3:$I$11"}</definedName>
    <definedName name="関連表">[1]表紙!#REF!</definedName>
    <definedName name="_Table2_In1">#REF!</definedName>
    <definedName name="_Table2_Out">#REF!</definedName>
    <definedName name="_Fill">#REF!</definedName>
    <definedName name="z">#REF!</definedName>
    <definedName name="_Table2_In2">#REF!</definedName>
  </definedNames>
  <calcPr/>
  <extLst>
    <ext uri="GoogleSheetsCustomDataVersion2">
      <go:sheetsCustomData xmlns:go="http://customooxmlschemas.google.com/" r:id="rId9" roundtripDataChecksum="sDiWLlm4LabqO0LS+81grILqOnHouqXNiHHkAqoIjYs="/>
    </ext>
  </extLst>
</workbook>
</file>

<file path=xl/sharedStrings.xml><?xml version="1.0" encoding="utf-8"?>
<sst xmlns="http://schemas.openxmlformats.org/spreadsheetml/2006/main" count="896" uniqueCount="465">
  <si>
    <t>変更Ver.</t>
  </si>
  <si>
    <t>更新日</t>
  </si>
  <si>
    <t>最終更新者</t>
  </si>
  <si>
    <t>変更目的、および、変更内容</t>
  </si>
  <si>
    <t>1.00</t>
  </si>
  <si>
    <t>SBS 吉川</t>
  </si>
  <si>
    <t>・ブック全般</t>
  </si>
  <si>
    <t xml:space="preserve">　　新規作成</t>
  </si>
  <si>
    <t>・「紙幣部」シート</t>
  </si>
  <si>
    <t xml:space="preserve">　　SSW30(bit2)(回収時搬送先設定)の設定値を変更 (0→1)</t>
  </si>
  <si>
    <t xml:space="preserve">　　SSW30(bit2)(回収時搬送先設定)の設定値を変更 (1→0)</t>
  </si>
  <si>
    <t xml:space="preserve">　　SSW3(カセット部ニアフル枚数設定)の設定値を変更 (180→100)</t>
  </si>
  <si>
    <t>1.10</t>
  </si>
  <si>
    <t>・「硬貨部」シート</t>
  </si>
  <si>
    <t xml:space="preserve">　　SSW29(bit4)(在高異常の際、残置回収の有効/無効設定)の設定値を変更 (1→0)</t>
  </si>
  <si>
    <t xml:space="preserve">　　SSW29(bit5)(残置回収 回収動作 有効/無効設定)の設定値を変更 (0→1)</t>
  </si>
  <si>
    <t xml:space="preserve">　　SSW29(bit6)(【回収】ボタン)の設定値を変更 (0→1)</t>
  </si>
  <si>
    <t xml:space="preserve">　　SSW54(bit1)(装置設定)の設定値を変更 (0→1) ※現金管理機モード</t>
  </si>
  <si>
    <t xml:space="preserve">　　SSW101(bit7)(硬貨紙幣別の収納金額表示画面)の設定値を変更 (0→1)</t>
  </si>
  <si>
    <t xml:space="preserve">　　SSW11(bit3)(残置回収 回収動作 有効/無効設定)の設定値を変更 (0→1)</t>
  </si>
  <si>
    <t xml:space="preserve">　　SSW11(bit7)(在高異常発生の際、残置回収の有効/無効設定)の設定値を変更 (1→0)</t>
  </si>
  <si>
    <t>1.20</t>
  </si>
  <si>
    <t xml:space="preserve">　　SSW22(bit2)(E59-*1エラー時の個別回収で在高クリア)の設定値を変更 (0→1)</t>
  </si>
  <si>
    <t xml:space="preserve">　　SSW54(bit1)(装置設定)の設定値を変更 (1→0) ※預かり金計数モード</t>
  </si>
  <si>
    <t>1.30</t>
  </si>
  <si>
    <t xml:space="preserve">　　SSW15(出金処理の機能設定)の設定を追加</t>
  </si>
  <si>
    <t xml:space="preserve">　　SSW29(bit7)(残置回収)の設定値を変更 (0→1)</t>
  </si>
  <si>
    <t xml:space="preserve">　　SSW30(５００円残置枚数)の設定を追加</t>
  </si>
  <si>
    <t xml:space="preserve">　　SSW31(１００円残置枚数)の設定を追加</t>
  </si>
  <si>
    <t xml:space="preserve">　　SSW32(５０円残置枚数)の設定を追加</t>
  </si>
  <si>
    <t xml:space="preserve">　　SSW33(１０円残置枚数)の設定を追加</t>
  </si>
  <si>
    <t xml:space="preserve">　　SSW34(５円残置枚数)の設定を追加</t>
  </si>
  <si>
    <t xml:space="preserve">　　SSW35(１円残置枚数)の設定を追加</t>
  </si>
  <si>
    <t xml:space="preserve">　　SSW61(５００円収納庫残置基準値設定)の設定を追加</t>
  </si>
  <si>
    <t xml:space="preserve">　　SSW62(１００円収納庫残置基準値設定)の設定を追加</t>
  </si>
  <si>
    <t xml:space="preserve">　　SSW63(５０円収納庫残置基準値設定)の設定を追加</t>
  </si>
  <si>
    <t xml:space="preserve">　　SSW64(１０円収納庫残置基準値設定)の設定を追加</t>
  </si>
  <si>
    <t xml:space="preserve">　　SSW65(５円収納庫残置基準値設定)の設定を追加</t>
  </si>
  <si>
    <t xml:space="preserve">　　SSW66(１円収納庫残置基準値設定)の設定を追加</t>
  </si>
  <si>
    <t xml:space="preserve">　　SSW101(bit1)(預かり金計数画面)の設定値を変更 (0→1)</t>
  </si>
  <si>
    <t xml:space="preserve">　　SSW8(出金処理の機能設定)の設定を追加</t>
  </si>
  <si>
    <t xml:space="preserve">　　SSW12(５０００円残置枚数)の設定を追加</t>
  </si>
  <si>
    <t xml:space="preserve">　　SSW30(bit4)(個別回収選択)の設定値を変更 (0→1)</t>
  </si>
  <si>
    <t xml:space="preserve">　　SSW34(万円残置枚数)の設定を追加</t>
  </si>
  <si>
    <t xml:space="preserve">　　SSW55(千円残置枚数(100の位))の設定を追加</t>
  </si>
  <si>
    <t xml:space="preserve">　　SSW56(千円残置枚数(10,1の位))の設定を追加</t>
  </si>
  <si>
    <t xml:space="preserve">　　SSW57(万円収納庫残置基準値設定)の設定を追加</t>
  </si>
  <si>
    <t xml:space="preserve">　　SSW58(５千円収納庫残置基準値設定)の設定を追加</t>
  </si>
  <si>
    <t xml:space="preserve">　　SSW60(千円収納庫残置基準値設定)の設定を追加</t>
  </si>
  <si>
    <t>1.40</t>
  </si>
  <si>
    <t xml:space="preserve">　　SSW103(省エネモード設定)の設定を追加</t>
  </si>
  <si>
    <t>更新日：</t>
  </si>
  <si>
    <t>◆自動釣銭機ＳＳＷ設定　【硬貨部】</t>
  </si>
  <si>
    <t>SSW</t>
  </si>
  <si>
    <t xml:space="preserve">　機能</t>
  </si>
  <si>
    <t xml:space="preserve">　設定内容説明</t>
  </si>
  <si>
    <t>設定範囲</t>
  </si>
  <si>
    <t>Default</t>
  </si>
  <si>
    <t>Setting</t>
  </si>
  <si>
    <t>#”紙幣” or ”硬貨”，スウィッチ名，ビット値，デフォルト値，設定値，コメント，CRLF</t>
  </si>
  <si>
    <t>５００円収納庫ニアエンプティ枚数設定</t>
  </si>
  <si>
    <t>設定値以下ならニアエンプティ判断</t>
  </si>
  <si>
    <t>0 ～ 40</t>
  </si>
  <si>
    <t>１００円収納庫ニアエンプティ枚数設定</t>
  </si>
  <si>
    <t>５０円収納庫ニアエンプティ枚数設定</t>
  </si>
  <si>
    <t>１０円収納庫ニアエンプティ枚数設定</t>
  </si>
  <si>
    <t>５円収納庫ニアエンプティ枚数設定</t>
  </si>
  <si>
    <t>１円収納庫ニアエンプティ枚数設定</t>
  </si>
  <si>
    <t>５００円収納庫ニアフル枚数設定</t>
  </si>
  <si>
    <t>設定値以上ならニアフル判断</t>
  </si>
  <si>
    <t>41 ～ 105</t>
  </si>
  <si>
    <t>１００円収納庫ニアフル枚数設定</t>
  </si>
  <si>
    <t>41 ～ 160</t>
  </si>
  <si>
    <t>５０円収納庫ニアフル枚数設定</t>
  </si>
  <si>
    <t>41 ～ 120</t>
  </si>
  <si>
    <t>１０円収納庫ニアフル枚数設定</t>
  </si>
  <si>
    <t>５円収納庫ニアフル枚数設定</t>
  </si>
  <si>
    <t>１円収納庫ニアフル枚数設定</t>
  </si>
  <si>
    <t>補充処理内容の設定</t>
  </si>
  <si>
    <t>(bit0)</t>
  </si>
  <si>
    <t>待機中【補充】押下による補充処理開始</t>
  </si>
  <si>
    <t>0:有効、1:無効</t>
  </si>
  <si>
    <t>0,1</t>
  </si>
  <si>
    <t>(bit1)</t>
  </si>
  <si>
    <t>０固定</t>
  </si>
  <si>
    <t>(bit2)</t>
  </si>
  <si>
    <t>(bit3)</t>
  </si>
  <si>
    <t>(bit4)</t>
  </si>
  <si>
    <t>(bit5)</t>
  </si>
  <si>
    <t>補充処理開始</t>
  </si>
  <si>
    <t>預かり金計数、現金管理機モードのみ有効</t>
  </si>
  <si>
    <t>(bit6)</t>
  </si>
  <si>
    <t>(bit7)</t>
  </si>
  <si>
    <t>１固定</t>
  </si>
  <si>
    <t>出金処理の機能設定</t>
  </si>
  <si>
    <t>【払い出し】ボタン</t>
  </si>
  <si>
    <t>0:無効、1:有効、</t>
  </si>
  <si>
    <t>【払い出し】ボタン有効となる鍵位置</t>
  </si>
  <si>
    <t>0:運用 or 管理、1:管理のみ</t>
  </si>
  <si>
    <t>個別回収処理内容の設定</t>
  </si>
  <si>
    <t>個別回収選択</t>
  </si>
  <si>
    <t>0:無効、1:有効</t>
  </si>
  <si>
    <t>トレーフルセンサ検知機能</t>
  </si>
  <si>
    <t>E59-*1エラー時の個別回収で在高クリア</t>
  </si>
  <si>
    <t>回収処理内容の設定</t>
  </si>
  <si>
    <t>全回収 有効／無効設定</t>
  </si>
  <si>
    <t>回収選択画面のデフォルト選択回収指示</t>
  </si>
  <si>
    <t>0:全回収、1:残置回収</t>
  </si>
  <si>
    <t>残置設定</t>
  </si>
  <si>
    <t>0:金額残置、1:枚数残置</t>
  </si>
  <si>
    <t>在高異常発生の際、残置回収の有効／無効設定</t>
  </si>
  <si>
    <t>残置回収 回収動作 有効／無効設定</t>
  </si>
  <si>
    <t>【回収】ボタン</t>
  </si>
  <si>
    <t>残置回収</t>
  </si>
  <si>
    <t>５００円残置枚数設定</t>
  </si>
  <si>
    <t>0 ～ 105</t>
  </si>
  <si>
    <t>１００円残置枚数設定</t>
  </si>
  <si>
    <t>0 ～ 160</t>
  </si>
  <si>
    <t>５０円残置枚数設定</t>
  </si>
  <si>
    <t>0 ～ 120</t>
  </si>
  <si>
    <t>１０円残置枚数設定</t>
  </si>
  <si>
    <t>５円残置枚数設定</t>
  </si>
  <si>
    <t>１円残置枚数設定</t>
  </si>
  <si>
    <t>両替機能の設定</t>
  </si>
  <si>
    <t>【両替】ボタン</t>
  </si>
  <si>
    <t>装置設定</t>
  </si>
  <si>
    <t>0:つり銭機／預かり金計数、1:現金管理機</t>
  </si>
  <si>
    <t>デバッグ用設定 (０固定)</t>
  </si>
  <si>
    <t>抜き取り検知機能</t>
  </si>
  <si>
    <t>預かり金計数モード設定</t>
  </si>
  <si>
    <t>モード設定</t>
  </si>
  <si>
    <t>0:預かり金計数モード、1:つり銭機モード</t>
  </si>
  <si>
    <t>５００円収納庫残置基準値設定</t>
  </si>
  <si>
    <t>１００円収納庫残置基準値設定</t>
  </si>
  <si>
    <t>５０円収納庫残置基準値設定</t>
  </si>
  <si>
    <t>１０円収納庫残置基準値設定</t>
  </si>
  <si>
    <t>５円収納庫残置基準値設定</t>
  </si>
  <si>
    <t>１円収納庫残置基準値設定</t>
  </si>
  <si>
    <t>表示機能設定</t>
  </si>
  <si>
    <t>つり銭機モードの補充画面</t>
  </si>
  <si>
    <t>0:金額のみ、1:明細あり</t>
  </si>
  <si>
    <t>預かり金計数画面</t>
  </si>
  <si>
    <t>0:出金連動、1:預かりのみ</t>
  </si>
  <si>
    <t>交代画面機能</t>
  </si>
  <si>
    <t>待機中画面表示</t>
  </si>
  <si>
    <t>0:ｲﾝｼﾞｹｰﾀｰ表示、1:前回処理の表示</t>
  </si>
  <si>
    <t>0 ～ 2</t>
  </si>
  <si>
    <t>2:詳細表示</t>
  </si>
  <si>
    <t>つり銭機操作による締め機能</t>
  </si>
  <si>
    <t>エンプティ状態通知不要金種の待機中画面表示</t>
  </si>
  <si>
    <t>0:表示、1:非表示</t>
  </si>
  <si>
    <t>硬貨紙幣別の収納金額表示画面</t>
  </si>
  <si>
    <t>0:非表示、1:表示</t>
  </si>
  <si>
    <t>省エネモード設定</t>
  </si>
  <si>
    <t>「分」で設定、bit7が 1 で有効と判定 (デフォルトは15分(0x8F))</t>
  </si>
  <si>
    <t>0 ～ 255</t>
  </si>
  <si>
    <t>収納庫開閉時強制在高異常通知設定</t>
  </si>
  <si>
    <t>収納庫開閉時強制在高異常通知</t>
  </si>
  <si>
    <t>精査処理内容の設定</t>
  </si>
  <si>
    <t>精査処理時の強制回収通知 有効／無効設定</t>
  </si>
  <si>
    <t>◆自動釣銭機ＳＳＷ設定　【紙幣部】</t>
  </si>
  <si>
    <t>デフォルト値</t>
  </si>
  <si>
    <t>設定値</t>
  </si>
  <si>
    <t>５０００円収納庫ニアエンプティ枚数設定</t>
  </si>
  <si>
    <t>0 ～ 15</t>
  </si>
  <si>
    <t>１０００円収納庫ニアエンプティ枚数設定</t>
  </si>
  <si>
    <t>0 ～ 75</t>
  </si>
  <si>
    <t>カセット部ニアフル枚数設定</t>
  </si>
  <si>
    <t>設定値以下ならニアフル判断</t>
  </si>
  <si>
    <t>0 ～ 200</t>
  </si>
  <si>
    <t>５０００円収納庫ニアフル枚数設定</t>
  </si>
  <si>
    <t>エンプティ状態通知不要金種設定</t>
  </si>
  <si>
    <t>千円収納庫エンプティ状態通知</t>
  </si>
  <si>
    <t>0:する、1:しない</t>
  </si>
  <si>
    <t>２千円収納庫エンプティ状態通知</t>
  </si>
  <si>
    <t>５千円収納庫エンプティ状態通知</t>
  </si>
  <si>
    <t>万円収納庫エンプティ状態通知</t>
  </si>
  <si>
    <t>つり銭機モードの補充ＲＪ紙幣の行き先設定</t>
  </si>
  <si>
    <t>0:ＲＪ部、1:払出口</t>
  </si>
  <si>
    <t>預かり金計数モードの補充ＲＪ紙幣の行き先設定</t>
  </si>
  <si>
    <t>0:払出口、1:ＲＪ部</t>
  </si>
  <si>
    <t>万円補充時の警告音</t>
  </si>
  <si>
    <t>出金順序の設定</t>
  </si>
  <si>
    <t>0:高額券、1:低額券</t>
  </si>
  <si>
    <t>連動残置回収</t>
  </si>
  <si>
    <t>５０００円残置枚数設定</t>
  </si>
  <si>
    <t>包装硬貨部設定</t>
  </si>
  <si>
    <t>包装硬貨部接続</t>
  </si>
  <si>
    <t>【ドロア開】ボタンの表示／非表示 (下位ビット)</t>
  </si>
  <si>
    <t>0:表示、1:管理のみ表示、2:非表示</t>
  </si>
  <si>
    <t>【ドロア開】ボタンの表示／非表示 (上位ビット)</t>
  </si>
  <si>
    <t>※"2:非表示"とする場合、bit1 に'0', bit2 に'1' を指定する</t>
  </si>
  <si>
    <t>精査フォーマット (下位ビット)</t>
  </si>
  <si>
    <t>0:包装硬貨分拡張、1:拡張なし(硬貨に加算)、2:拡張なし(加算なし)</t>
  </si>
  <si>
    <t>精査フォーマット (上位ビット)</t>
  </si>
  <si>
    <t>※"2:拡張なし(加算なし)"とする場合、bit3 に'0', bit4 に'1' を指定する</t>
  </si>
  <si>
    <t>５００円包装硬貨巻き数</t>
  </si>
  <si>
    <t>0:５０枚、1:２０枚</t>
  </si>
  <si>
    <t>包装硬貨連動残置</t>
  </si>
  <si>
    <t>包装硬貨両替機能</t>
  </si>
  <si>
    <t>計数モード設定</t>
  </si>
  <si>
    <t>0:本券モード、1:ダミーモード</t>
  </si>
  <si>
    <t>上位Ｉ／Ｆ設定２</t>
  </si>
  <si>
    <t>金額指定フォーマット</t>
  </si>
  <si>
    <t>0:５桁、1:６桁</t>
  </si>
  <si>
    <t>枚数指定出金フォーマット</t>
  </si>
  <si>
    <t>0:２桁、1:３桁</t>
  </si>
  <si>
    <t>デバッグ用設定</t>
  </si>
  <si>
    <t>動作設定</t>
  </si>
  <si>
    <t>出金優先モード設定</t>
  </si>
  <si>
    <t>ボタン操作による補充機能</t>
  </si>
  <si>
    <t>回収時搬送先設定</t>
  </si>
  <si>
    <t>0:カセット、1:払出口</t>
  </si>
  <si>
    <t>個別回収時搬送先設定</t>
  </si>
  <si>
    <t>連動残置回収実行時：硬貨端数出金設定</t>
  </si>
  <si>
    <t>万円収納庫ニアエンプティ枚数設定</t>
  </si>
  <si>
    <t>0 ～ 100</t>
  </si>
  <si>
    <t>万円収納庫ニアフル枚数設定</t>
  </si>
  <si>
    <t>万円残置枚数設定</t>
  </si>
  <si>
    <t>万円収納庫フル枚数設定</t>
  </si>
  <si>
    <t>設定値を超えて入金された紙幣はカセットへ</t>
  </si>
  <si>
    <t>千円収納庫ニアフル枚数設定 (100の位)</t>
  </si>
  <si>
    <t>0 ～ 4</t>
  </si>
  <si>
    <t>千円収納庫ニアフル枚数設定 (10、1の位)</t>
  </si>
  <si>
    <t>0 ～ 99</t>
  </si>
  <si>
    <t>千円残置枚数設定 (100の位)</t>
  </si>
  <si>
    <t>千円残置枚数設定 (10、1の位)</t>
  </si>
  <si>
    <t>万円収納庫残置基準値設定</t>
  </si>
  <si>
    <t>５千円収納庫残置基準値設定</t>
  </si>
  <si>
    <t>千円収納庫残置基準値設定</t>
  </si>
  <si>
    <t>千円収納庫フル枚数設定 (100の位)</t>
  </si>
  <si>
    <t>千円収納庫フル枚数設定 (10、1の位)</t>
  </si>
  <si>
    <t>５千円収納庫フル枚数設定</t>
  </si>
  <si>
    <t>上位Ｉ／Ｆの機能設定３</t>
  </si>
  <si>
    <t>回収終了条件</t>
  </si>
  <si>
    <t>0:空カセットのセット、1:現行機と同様</t>
  </si>
  <si>
    <t>◆自動釣銭機ＳＳＷ設定ファイル</t>
  </si>
  <si>
    <t>【ファイル名】</t>
  </si>
  <si>
    <t>「D:\KPJ\PRM\KPJSSW.inp」</t>
  </si>
  <si>
    <t>【ファイル内容】</t>
  </si>
  <si>
    <t>硬貨,SSW1,b0,10,10 #５００円収納庫ニアエンプティ枚数設定  《設定値以下ならニアエンプティ判断》   (設定範囲：0 ～ 40)</t>
  </si>
  <si>
    <t>硬貨,SSW2,b0,20,20 #１００円収納庫ニアエンプティ枚数設定  《設定値以下ならニアエンプティ判断》   (設定範囲：0 ～ 40)</t>
  </si>
  <si>
    <t>硬貨,SSW3,b0,20,20 #５０円収納庫ニアエンプティ枚数設定  《設定値以下ならニアエンプティ判断》   (設定範囲：0 ～ 40)</t>
  </si>
  <si>
    <t>硬貨,SSW4,b0,20,20 #１０円収納庫ニアエンプティ枚数設定  《設定値以下ならニアエンプティ判断》   (設定範囲：0 ～ 40)</t>
  </si>
  <si>
    <t>硬貨,SSW5,b0,20,20 #５円収納庫ニアエンプティ枚数設定  《設定値以下ならニアエンプティ判断》   (設定範囲：0 ～ 40)</t>
  </si>
  <si>
    <t>硬貨,SSW6,b0,20,20 #１円収納庫ニアエンプティ枚数設定  《設定値以下ならニアエンプティ判断》   (設定範囲：0 ～ 40)</t>
  </si>
  <si>
    <t>硬貨,SSW7,b0,95,95 #５００円収納庫ニアフル枚数設定  《設定値以上ならニアフル判断》   (設定範囲：41 ～ 105)</t>
  </si>
  <si>
    <t>硬貨,SSW8,b0,150,150 #１００円収納庫ニアフル枚数設定  《設定値以上ならニアフル判断》   (設定範囲：41 ～ 160)</t>
  </si>
  <si>
    <t>硬貨,SSW9,b0,110,110 #５０円収納庫ニアフル枚数設定  《設定値以上ならニアフル判断》   (設定範囲：41 ～ 120)</t>
  </si>
  <si>
    <t>硬貨,SSW10,b0,150,150 #１０円収納庫ニアフル枚数設定  《設定値以上ならニアフル判断》   (設定範囲：41 ～ 160)</t>
  </si>
  <si>
    <t>硬貨,SSW11,b0,110,110 #５円収納庫ニアフル枚数設定  《設定値以上ならニアフル判断》   (設定範囲：41 ～ 120)</t>
  </si>
  <si>
    <t>硬貨,SSW12,b0,150,150 #１円収納庫ニアフル枚数設定  《設定値以上ならニアフル判断》   (設定範囲：41 ～ 160)</t>
  </si>
  <si>
    <t>#硬貨,SSW14,補充処理内容の設定</t>
  </si>
  <si>
    <t>硬貨,SSW14,b0,0,1 #(bit0)待機中【補充】押下による補充処理開始  《0:有効、1:無効》   (設定範囲：0,1)</t>
  </si>
  <si>
    <t>硬貨,SSW14,b1,0,0 #(bit1)０固定</t>
  </si>
  <si>
    <t>硬貨,SSW14,b2,0,0 #(bit2)０固定</t>
  </si>
  <si>
    <t>硬貨,SSW14,b3,0,0 #(bit3)０固定</t>
  </si>
  <si>
    <t>硬貨,SSW14,b4,0,0 #(bit4)０固定</t>
  </si>
  <si>
    <t>硬貨,SSW14,b5,0,1 #(bit5)補充処理開始  《預かり金計数、現金管理機モードのみ有効》   (設定範囲：0,1)</t>
  </si>
  <si>
    <t>硬貨,SSW14,b6,0,0 #(bit6)０固定</t>
  </si>
  <si>
    <t>硬貨,SSW14,b7,1,1 #(bit7)１固定</t>
  </si>
  <si>
    <t>#硬貨,SSW15,出金処理の機能設定</t>
  </si>
  <si>
    <t>硬貨,SSW15,b0,0,0 #(bit0)【払い出し】ボタン  《0:無効、1:有効、》   (設定範囲：0,1)</t>
  </si>
  <si>
    <t>硬貨,SSW15,b1,0,0 #(bit1)【払い出し】ボタン有効となる鍵位置  《0:運用 or 管理、1:管理のみ》   (設定範囲：0,1)</t>
  </si>
  <si>
    <t>硬貨,SSW15,b2,0,0 #(bit2)０固定</t>
  </si>
  <si>
    <t>硬貨,SSW15,b3,0,0 #(bit3)０固定</t>
  </si>
  <si>
    <t>硬貨,SSW15,b4,0,0 #(bit4)０固定</t>
  </si>
  <si>
    <t>硬貨,SSW15,b5,0,0 #(bit5)０固定</t>
  </si>
  <si>
    <t>硬貨,SSW15,b6,0,0 #(bit6)０固定</t>
  </si>
  <si>
    <t>硬貨,SSW15,b7,0,0 #(bit7)０固定</t>
  </si>
  <si>
    <t>#硬貨,SSW22,個別回収処理内容の設定</t>
  </si>
  <si>
    <t>硬貨,SSW22,b0,1,0 #(bit0)個別回収選択  《0:無効、1:有効》   (設定範囲：0,1)</t>
  </si>
  <si>
    <t>硬貨,SSW22,b1,0,0 #(bit1)トレーフルセンサ検知機能  《0:無効、1:有効》   (設定範囲：0,1)</t>
  </si>
  <si>
    <t>硬貨,SSW22,b2,1,1 #(bit2)E59-*1エラー時の個別回収で在高クリア  《0:無効、1:有効》   (設定範囲：0,1)</t>
  </si>
  <si>
    <t>硬貨,SSW22,b3,0,0 #(bit3)０固定</t>
  </si>
  <si>
    <t>硬貨,SSW22,b4,0,0 #(bit4)０固定</t>
  </si>
  <si>
    <t>硬貨,SSW22,b5,0,0 #(bit5)０固定</t>
  </si>
  <si>
    <t>硬貨,SSW22,b6,0,0 #(bit6)０固定</t>
  </si>
  <si>
    <t>硬貨,SSW22,b7,0,0 #(bit7)０固定</t>
  </si>
  <si>
    <t>#硬貨,SSW29,回収処理内容の設定</t>
  </si>
  <si>
    <t>硬貨,SSW29,b0,1,1 #(bit0)全回収 有効／無効設定  《0:無効、1:有効》   (設定範囲：0,1)</t>
  </si>
  <si>
    <t>硬貨,SSW29,b1,1,1 #(bit1)１固定</t>
  </si>
  <si>
    <t>硬貨,SSW29,b2,0,0 #(bit2)回収選択画面のデフォルト選択回収指示  《0:全回収、1:残置回収》   (設定範囲：0,1)</t>
  </si>
  <si>
    <t>硬貨,SSW29,b3,0,0 #(bit3)残置設定  《0:金額残置、1:枚数残置》   (設定範囲：0,1)</t>
  </si>
  <si>
    <t>硬貨,SSW29,b4,1,0 #(bit4)在高異常発生の際、残置回収の有効／無効設定  《0:無効、1:有効》   (設定範囲：0,1)</t>
  </si>
  <si>
    <t>硬貨,SSW29,b5,0,1 #(bit5)残置回収 回収動作 有効／無効設定  《0:有効、1:無効》   (設定範囲：0,1)</t>
  </si>
  <si>
    <t>硬貨,SSW29,b6,0,1 #(bit6)【回収】ボタン  《0:有効、1:無効》   (設定範囲：0,1)</t>
  </si>
  <si>
    <t>硬貨,SSW29,b7,0,1 #(bit7)残置回収  《0:有効、1:無効》   (設定範囲：0,1)</t>
  </si>
  <si>
    <t>硬貨,SSW30,b0,50,0 #５００円残置枚数設定 (設定範囲：0 ～ 105)</t>
  </si>
  <si>
    <t>硬貨,SSW31,b0,50,0 #１００円残置枚数設定 (設定範囲：0 ～ 160)</t>
  </si>
  <si>
    <t>硬貨,SSW32,b0,50,0 #５０円残置枚数設定 (設定範囲：0 ～ 120)</t>
  </si>
  <si>
    <t>硬貨,SSW33,b0,50,0 #１０円残置枚数設定 (設定範囲：0 ～ 160)</t>
  </si>
  <si>
    <t>硬貨,SSW34,b0,50,0 #５円残置枚数設定 (設定範囲：0 ～ 120)</t>
  </si>
  <si>
    <t>硬貨,SSW35,b0,50,0 #１円残置枚数設定 (設定範囲：0 ～ 160)</t>
  </si>
  <si>
    <t>#硬貨,SSW44,両替機能の設定</t>
  </si>
  <si>
    <t>硬貨,SSW44,b0,1,0 #(bit0)【両替】ボタン  《0:無効、1:有効》   (設定範囲：0,1)</t>
  </si>
  <si>
    <t>硬貨,SSW44,b1,1,1 #(bit1)１固定</t>
  </si>
  <si>
    <t>硬貨,SSW44,b2,0,0 #(bit2)０固定</t>
  </si>
  <si>
    <t>硬貨,SSW44,b3,0,0 #(bit3)０固定</t>
  </si>
  <si>
    <t>硬貨,SSW44,b4,0,0 #(bit4)０固定</t>
  </si>
  <si>
    <t>硬貨,SSW44,b5,0,0 #(bit5)０固定</t>
  </si>
  <si>
    <t>硬貨,SSW44,b6,0,0 #(bit6)０固定</t>
  </si>
  <si>
    <t>硬貨,SSW44,b7,0,0 #(bit7)０固定</t>
  </si>
  <si>
    <t>#硬貨,SSW54,装置設定</t>
  </si>
  <si>
    <t>硬貨,SSW54,b0,0,0 #(bit0)０固定</t>
  </si>
  <si>
    <t>硬貨,SSW54,b1,0,0 #(bit1)装置設定  《0:つり銭機／預かり金計数、1:現金管理機》   (設定範囲：0,1)</t>
  </si>
  <si>
    <t>硬貨,SSW54,b2,0,0 #(bit2)０固定</t>
  </si>
  <si>
    <t>硬貨,SSW54,b3,0,0 #(bit3)デバッグ用設定 (０固定)</t>
  </si>
  <si>
    <t>硬貨,SSW54,b4,0,0 #(bit4)０固定</t>
  </si>
  <si>
    <t>硬貨,SSW54,b5,0,0 #(bit5)０固定</t>
  </si>
  <si>
    <t>硬貨,SSW54,b6,0,0 #(bit6)抜き取り検知機能  《0:有効、1:無効》   (設定範囲：0,1)</t>
  </si>
  <si>
    <t>硬貨,SSW54,b7,0,0 #(bit7)０固定</t>
  </si>
  <si>
    <t>#硬貨,SSW55,預かり金計数モード設定</t>
  </si>
  <si>
    <t>硬貨,SSW55,b0,1,0 #(bit0)モード設定  《0:預かり金計数モード、1:つり銭機モード》   (設定範囲：0,1)</t>
  </si>
  <si>
    <t>硬貨,SSW55,b1,0,0 #(bit1)０固定</t>
  </si>
  <si>
    <t>硬貨,SSW55,b2,0,0 #(bit2)０固定</t>
  </si>
  <si>
    <t>硬貨,SSW55,b3,0,0 #(bit3)０固定</t>
  </si>
  <si>
    <t>硬貨,SSW55,b4,0,0 #(bit4)０固定</t>
  </si>
  <si>
    <t>硬貨,SSW55,b5,0,0 #(bit5)０固定</t>
  </si>
  <si>
    <t>硬貨,SSW55,b6,0,0 #(bit6)０固定</t>
  </si>
  <si>
    <t>硬貨,SSW55,b7,0,0 #(bit7)０固定</t>
  </si>
  <si>
    <t>硬貨,SSW61,b0,10,0 #５００円収納庫残置基準値設定 (設定範囲：0 ～ 105)</t>
  </si>
  <si>
    <t>硬貨,SSW62,b0,50,0 #１００円収納庫残置基準値設定 (設定範囲：0 ～ 160)</t>
  </si>
  <si>
    <t>硬貨,SSW63,b0,20,0 #５０円収納庫残置基準値設定 (設定範囲：0 ～ 120)</t>
  </si>
  <si>
    <t>硬貨,SSW64,b0,50,0 #１０円収納庫残置基準値設定 (設定範囲：0 ～ 160)</t>
  </si>
  <si>
    <t>硬貨,SSW65,b0,20,0 #５円収納庫残置基準値設定 (設定範囲：0 ～ 120)</t>
  </si>
  <si>
    <t>硬貨,SSW66,b0,50,0 #１円収納庫残置基準値設定 (設定範囲：0 ～ 160)</t>
  </si>
  <si>
    <t>#硬貨,SSW101,表示機能設定</t>
  </si>
  <si>
    <t>硬貨,SSW101,b0,0,0 #(bit0)つり銭機モードの補充画面  《0:金額のみ、1:明細あり》   (設定範囲：0,1)</t>
  </si>
  <si>
    <t>硬貨,SSW101,b1,0,1 #(bit1)預かり金計数画面  《0:出金連動、1:預かりのみ》   (設定範囲：0,1)</t>
  </si>
  <si>
    <t>硬貨,SSW101,b2,0,1 #(bit2)交代画面機能  《0:有効、1:無効》   (設定範囲：0,1)</t>
  </si>
  <si>
    <t>硬貨,SSW101,b3,0,0 #(bit3)待機中画面表示  《0:ｲﾝｼﾞｹｰﾀｰ表示、1:前回処理の表示》   (設定範囲：0 ～ 2)</t>
  </si>
  <si>
    <t xml:space="preserve">硬貨,SSW101,b4,0,0 #(bit4)待機中画面表示  《2:詳細表示》  </t>
  </si>
  <si>
    <t>硬貨,SSW101,b5,0,1 #(bit5)つり銭機操作による締め機能  《0:有効、1:無効》   (設定範囲：0,1)</t>
  </si>
  <si>
    <t>硬貨,SSW101,b6,0,0 #(bit6)エンプティ状態通知不要金種の待機中画面表示  《0:表示、1:非表示》   (設定範囲：0,1)</t>
  </si>
  <si>
    <t>硬貨,SSW101,b7,0,1 #(bit7)硬貨紙幣別の収納金額表示画面  《0:非表示、1:表示》   (設定範囲：0,1)</t>
  </si>
  <si>
    <t>硬貨,SSW103,b0,143,15 #省エネモード設定  《「分」で設定、bit7が 1 で有効と判定 (デフォルトは15分(0x8F))》   (設定範囲：0 ～ 255)</t>
  </si>
  <si>
    <t>#硬貨,SSW154,収納庫開閉時強制在高異常通知設定</t>
  </si>
  <si>
    <t>硬貨,SSW154,b0,0,0 #(bit0)収納庫開閉時強制在高異常通知  《0:無効、1:有効》   (設定範囲：0,1)</t>
  </si>
  <si>
    <t>硬貨,SSW154,b1,0,0 #(bit1)０固定</t>
  </si>
  <si>
    <t>硬貨,SSW154,b2,0,0 #(bit2)０固定</t>
  </si>
  <si>
    <t>硬貨,SSW154,b3,0,0 #(bit3)０固定</t>
  </si>
  <si>
    <t>硬貨,SSW154,b4,0,0 #(bit4)０固定</t>
  </si>
  <si>
    <t>硬貨,SSW154,b5,0,0 #(bit5)０固定</t>
  </si>
  <si>
    <t>硬貨,SSW154,b6,0,0 #(bit6)０固定</t>
  </si>
  <si>
    <t>硬貨,SSW154,b7,0,0 #(bit7)０固定</t>
  </si>
  <si>
    <t>#硬貨,SSW155,精査処理内容の設定</t>
  </si>
  <si>
    <t>硬貨,SSW155,b0,0,0 #(bit0)精査処理時の強制回収通知 有効／無効設定  《0:無効、1:有効》   (設定範囲：0,1)</t>
  </si>
  <si>
    <t>硬貨,SSW155,b1,0,0 #(bit1)０固定</t>
  </si>
  <si>
    <t>硬貨,SSW155,b2,0,0 #(bit2)０固定</t>
  </si>
  <si>
    <t>硬貨,SSW155,b3,0,0 #(bit3)０固定</t>
  </si>
  <si>
    <t>硬貨,SSW155,b4,0,0 #(bit4)０固定</t>
  </si>
  <si>
    <t>硬貨,SSW155,b5,0,0 #(bit5)０固定</t>
  </si>
  <si>
    <t>硬貨,SSW155,b6,0,0 #(bit6)０固定</t>
  </si>
  <si>
    <t>硬貨,SSW155,b7,0,0 #(bit7)０固定</t>
  </si>
  <si>
    <t>紙幣,SSW1,b0,5,5 #５０００円収納庫ニアエンプティ枚数設定  《設定値以下ならニアエンプティ判断》   (設定範囲：0 ～ 15)</t>
  </si>
  <si>
    <t>紙幣,SSW2,b0,10,10 #１０００円収納庫ニアエンプティ枚数設定  《設定値以下ならニアエンプティ判断》   (設定範囲：0 ～ 75)</t>
  </si>
  <si>
    <t>紙幣,SSW3,b0,180,100 #カセット部ニアフル枚数設定  《設定値以下ならニアフル判断》   (設定範囲：0 ～ 200)</t>
  </si>
  <si>
    <t>紙幣,SSW4,b0,80,80 #５０００円収納庫ニアフル枚数設定  《設定値以下ならニアフル判断》   (設定範囲：0 ～ 200)</t>
  </si>
  <si>
    <t>#紙幣,SSW5,エンプティ状態通知不要金種設定</t>
  </si>
  <si>
    <t>紙幣,SSW5,b0,0,0 #(bit0)千円収納庫エンプティ状態通知  《0:する、1:しない》   (設定範囲：0,1)</t>
  </si>
  <si>
    <t>紙幣,SSW5,b1,0,0 #(bit1)２千円収納庫エンプティ状態通知  《0:する、1:しない》   (設定範囲：0,1)</t>
  </si>
  <si>
    <t>紙幣,SSW5,b2,0,0 #(bit2)５千円収納庫エンプティ状態通知  《0:する、1:しない》   (設定範囲：0,1)</t>
  </si>
  <si>
    <t>紙幣,SSW5,b3,0,0 #(bit3)万円収納庫エンプティ状態通知  《0:する、1:しない》   (設定範囲：0,1)</t>
  </si>
  <si>
    <t>紙幣,SSW5,b4,0,0 #(bit4)０固定</t>
  </si>
  <si>
    <t>紙幣,SSW5,b5,0,0 #(bit5)０固定</t>
  </si>
  <si>
    <t>紙幣,SSW5,b6,0,0 #(bit6)０固定</t>
  </si>
  <si>
    <t>紙幣,SSW5,b7,0,0 #(bit7)０固定</t>
  </si>
  <si>
    <t>#紙幣,SSW7,補充処理内容の設定</t>
  </si>
  <si>
    <t>紙幣,SSW7,b0,0,0 #(bit0)つり銭機モードの補充ＲＪ紙幣の行き先設定  《0:ＲＪ部、1:払出口》   (設定範囲：0,1)</t>
  </si>
  <si>
    <t>紙幣,SSW7,b1,0,0 #(bit1)預かり金計数モードの補充ＲＪ紙幣の行き先設定  《0:払出口、1:ＲＪ部》   (設定範囲：0,1)</t>
  </si>
  <si>
    <t>紙幣,SSW7,b2,0,0 #(bit2)万円補充時の警告音  《0:無効、1:有効》   (設定範囲：0,1)</t>
  </si>
  <si>
    <t>紙幣,SSW7,b3,0,1 #(bit3)待機中【補充】押下による補充処理開始  《0:有効、1:無効》   (設定範囲：0,1)</t>
  </si>
  <si>
    <t>紙幣,SSW7,b4,0,0 #(bit4)０固定</t>
  </si>
  <si>
    <t>紙幣,SSW7,b5,0,0 #(bit5)０固定</t>
  </si>
  <si>
    <t>紙幣,SSW7,b6,0,0 #(bit6)０固定</t>
  </si>
  <si>
    <t>紙幣,SSW7,b7,0,0 #(bit7)０固定</t>
  </si>
  <si>
    <t>#紙幣,SSW8,出金処理の機能設定</t>
  </si>
  <si>
    <t>紙幣,SSW8,b0,0,0 #(bit0)【払い出し】ボタン  《0:無効、1:有効、》   (設定範囲：0,1)</t>
  </si>
  <si>
    <t>紙幣,SSW8,b1,0,0 #(bit1)【払い出し】ボタン有効となる鍵位置  《0:運用 or 管理、1:管理のみ》   (設定範囲：0,1)</t>
  </si>
  <si>
    <t>紙幣,SSW8,b2,0,0 #(bit2)０固定</t>
  </si>
  <si>
    <t>紙幣,SSW8,b3,0,0 #(bit3)０固定</t>
  </si>
  <si>
    <t>紙幣,SSW8,b4,0,0 #(bit4)出金順序の設定  《0:高額券、1:低額券》   (設定範囲：0,1)</t>
  </si>
  <si>
    <t>紙幣,SSW8,b5,0,0 #(bit5)０固定</t>
  </si>
  <si>
    <t>紙幣,SSW8,b6,0,0 #(bit6)０固定</t>
  </si>
  <si>
    <t>紙幣,SSW8,b7,0,0 #(bit7)０固定</t>
  </si>
  <si>
    <t>#紙幣,SSW11,回収処理内容の設定</t>
  </si>
  <si>
    <t>紙幣,SSW11,b0,1,1 #(bit0)全回収 有効／無効設定  《0:無効、1:有効》   (設定範囲：0,1)</t>
  </si>
  <si>
    <t>紙幣,SSW11,b1,0,0 #(bit1)回収選択画面のデフォルト選択回収指示  《0:全回収、1:残置回収》   (設定範囲：0,1)</t>
  </si>
  <si>
    <t>紙幣,SSW11,b2,0,0 #(bit2)残置設定  《0:金額残置、1:枚数残置》   (設定範囲：0,1)</t>
  </si>
  <si>
    <t>紙幣,SSW11,b3,0,1 #(bit3)残置回収 回収動作 有効／無効設定  《0:有効、1:無効》   (設定範囲：0,1)</t>
  </si>
  <si>
    <t>紙幣,SSW11,b4,0,0 #(bit4)０固定</t>
  </si>
  <si>
    <t>紙幣,SSW11,b5,0,0 #(bit5)０固定</t>
  </si>
  <si>
    <t>紙幣,SSW11,b6,0,0 #(bit6)連動残置回収  《0:無効、1:有効》   (設定範囲：0,1)</t>
  </si>
  <si>
    <t>紙幣,SSW11,b7,1,0 #(bit7)在高異常発生の際、残置回収の有効／無効設定  《0:無効、1:有効》   (設定範囲：0,1)</t>
  </si>
  <si>
    <t>紙幣,SSW12,b0,10,0 #５０００円残置枚数設定 (設定範囲：0 ～ 200)</t>
  </si>
  <si>
    <t>#紙幣,SSW13,包装硬貨部設定</t>
  </si>
  <si>
    <t>紙幣,SSW13,b0,1,1 #(bit0)包装硬貨部接続  《0:無効、1:有効》   (設定範囲：0,1)</t>
  </si>
  <si>
    <t>紙幣,SSW13,b1,1,1 #(bit1)【ドロア開】ボタンの表示／非表示 (下位ビット)  《0:表示、1:管理のみ表示、2:非表示》   (設定範囲：0,1)</t>
  </si>
  <si>
    <t>紙幣,SSW13,b2,0,0 #(bit2)【ドロア開】ボタンの表示／非表示 (上位ビット)  《※"2:非表示"とする場合、bit1 に'0', bit2 に'1' を指定する》   (設定範囲：0,1)</t>
  </si>
  <si>
    <t>紙幣,SSW13,b3,1,0 #(bit3)精査フォーマット (下位ビット)  《0:包装硬貨分拡張、1:拡張なし(硬貨に加算)、2:拡張なし(加算なし)》   (設定範囲：0,1)</t>
  </si>
  <si>
    <t>紙幣,SSW13,b4,0,0 #(bit4)精査フォーマット (上位ビット)  《※"2:拡張なし(加算なし)"とする場合、bit3 に'0', bit4 に'1' を指定する》   (設定範囲：0,1)</t>
  </si>
  <si>
    <t>紙幣,SSW13,b5,0,0 #(bit5)５００円包装硬貨巻き数  《0:５０枚、1:２０枚》   (設定範囲：0,1)</t>
  </si>
  <si>
    <t>紙幣,SSW13,b6,0,0 #(bit6)包装硬貨連動残置  《0:無効、1:有効》   (設定範囲：0,1)</t>
  </si>
  <si>
    <t>紙幣,SSW13,b7,0,0 #(bit7)０固定</t>
  </si>
  <si>
    <t>#紙幣,SSW18,両替機能の設定</t>
  </si>
  <si>
    <t>紙幣,SSW18,b0,0,1 #(bit0)【両替】ボタン  《0:有効、1:無効》   (設定範囲：0,1)</t>
  </si>
  <si>
    <t>紙幣,SSW18,b1,0,0 #(bit1)０固定</t>
  </si>
  <si>
    <t>紙幣,SSW18,b2,0,0 #(bit2)包装硬貨両替機能  《0:無効、1:有効》   (設定範囲：0,1)</t>
  </si>
  <si>
    <t>紙幣,SSW18,b3,0,0 #(bit3)０固定</t>
  </si>
  <si>
    <t>紙幣,SSW18,b4,0,0 #(bit4)０固定</t>
  </si>
  <si>
    <t>紙幣,SSW18,b5,0,0 #(bit5)０固定</t>
  </si>
  <si>
    <t>紙幣,SSW18,b6,0,0 #(bit6)０固定</t>
  </si>
  <si>
    <t>紙幣,SSW18,b7,0,0 #(bit7)０固定</t>
  </si>
  <si>
    <t>紙幣,SSW21,b0,0,0 #計数モード設定  《0:本券モード、1:ダミーモード》   (設定範囲：0,1)</t>
  </si>
  <si>
    <t>#紙幣,SSW24,上位Ｉ／Ｆ設定２</t>
  </si>
  <si>
    <t>紙幣,SSW24,b0,0,1 #(bit0)金額指定フォーマット  《0:５桁、1:６桁》   (設定範囲：0,1)</t>
  </si>
  <si>
    <t>紙幣,SSW24,b1,0,1 #(bit1)枚数指定出金フォーマット  《0:２桁、1:３桁》   (設定範囲：0,1)</t>
  </si>
  <si>
    <t>紙幣,SSW24,b2,0,0 #(bit2)０固定</t>
  </si>
  <si>
    <t>紙幣,SSW24,b3,0,0 #(bit3)０固定</t>
  </si>
  <si>
    <t>紙幣,SSW24,b4,0,0 #(bit4)０固定</t>
  </si>
  <si>
    <t>紙幣,SSW24,b5,0,0 #(bit5)０固定</t>
  </si>
  <si>
    <t>紙幣,SSW24,b6,0,0 #(bit6)０固定</t>
  </si>
  <si>
    <t>紙幣,SSW24,b7,0,0 #(bit7)デバッグ用設定</t>
  </si>
  <si>
    <t>#紙幣,SSW29,預かり金計数モード設定</t>
  </si>
  <si>
    <t>紙幣,SSW29,b0,1,0 #(bit0)モード設定  《0:預かり金計数モード、1:つり銭機モード》   (設定範囲：0,1)</t>
  </si>
  <si>
    <t>紙幣,SSW29,b1,0,0 #(bit1)デバッグ用設定</t>
  </si>
  <si>
    <t>紙幣,SSW29,b2,0,0 #(bit2)デバッグ用設定</t>
  </si>
  <si>
    <t>紙幣,SSW29,b3,0,0 #(bit3)０固定</t>
  </si>
  <si>
    <t>紙幣,SSW29,b4,0,0 #(bit4)０固定</t>
  </si>
  <si>
    <t>紙幣,SSW29,b5,0,0 #(bit5)０固定</t>
  </si>
  <si>
    <t>紙幣,SSW29,b6,0,0 #(bit6)０固定</t>
  </si>
  <si>
    <t>紙幣,SSW29,b7,0,0 #(bit7)０固定</t>
  </si>
  <si>
    <t>#紙幣,SSW30,動作設定</t>
  </si>
  <si>
    <t>紙幣,SSW30,b0,0,0 #(bit0)出金優先モード設定  《0:無効、1:有効》   (設定範囲：0,1)</t>
  </si>
  <si>
    <t>紙幣,SSW30,b1,0,1 #(bit1)ボタン操作による補充機能  《0:有効、1:無効》   (設定範囲：0,1)</t>
  </si>
  <si>
    <t>紙幣,SSW30,b2,0,0 #(bit2)回収時搬送先設定  《0:カセット、1:払出口》   (設定範囲：0,1)</t>
  </si>
  <si>
    <t>紙幣,SSW30,b3,0,1 #(bit3)個別回収時搬送先設定  《0:カセット、1:払出口》   (設定範囲：0,1)</t>
  </si>
  <si>
    <t>紙幣,SSW30,b4,0,1 #(bit4)個別回収選択  《0:有効、1:無効》   (設定範囲：0,1)</t>
  </si>
  <si>
    <t>紙幣,SSW30,b5,0,0 #(bit5)０固定</t>
  </si>
  <si>
    <t>紙幣,SSW30,b6,0,0 #(bit6)連動残置回収実行時：硬貨端数出金設定  《0:有効、1:無効》   (設定範囲：0,1)</t>
  </si>
  <si>
    <t>紙幣,SSW30,b7,0,0 #(bit7)０固定</t>
  </si>
  <si>
    <t>紙幣,SSW31,b0,5,5 #万円収納庫ニアエンプティ枚数設定  《設定値以下ならニアエンプティ判断》   (設定範囲：0 ～ 100)</t>
  </si>
  <si>
    <t>紙幣,SSW32,b0,90,100 #万円収納庫ニアフル枚数設定  《設定値以上ならニアフル判断》   (設定範囲：0 ～ 100)</t>
  </si>
  <si>
    <t>紙幣,SSW34,b0,0,0 #万円残置枚数設定 (設定範囲：0 ～ 100)</t>
  </si>
  <si>
    <t>紙幣,SSW45,b0,20,100 #万円収納庫フル枚数設定  《設定値を超えて入金された紙幣はカセットへ》   (設定範囲：0 ～ 100)</t>
  </si>
  <si>
    <t>紙幣,SSW47,b0,1,1 #千円収納庫ニアフル枚数設定 (100の位)  《設定値以上ならニアフル判断》   (設定範囲：0 ～ 4)</t>
  </si>
  <si>
    <t>紙幣,SSW48,b0,80,80 #千円収納庫ニアフル枚数設定 (10、1の位)  《設定値以上ならニアフル判断》   (設定範囲：0 ～ 99)</t>
  </si>
  <si>
    <t>紙幣,SSW55,b0,0,0 #千円残置枚数設定 (100の位) (設定範囲：0 ～ 4)</t>
  </si>
  <si>
    <t>紙幣,SSW56,b0,80,0 #千円残置枚数設定 (10、1の位) (設定範囲：0 ～ 99)</t>
  </si>
  <si>
    <t>紙幣,SSW57,b0,0,0 #万円収納庫残置基準値設定 (設定範囲：0 ～ 200)</t>
  </si>
  <si>
    <t>紙幣,SSW58,b0,10,0 #５千円収納庫残置基準値設定 (設定範囲：0 ～ 200)</t>
  </si>
  <si>
    <t>紙幣,SSW60,b0,50,0 #千円収納庫残置基準値設定 (設定範囲：0 ～ 200)</t>
  </si>
  <si>
    <t>紙幣,SSW71,b0,2,2 #千円収納庫フル枚数設定 (100の位)  《設定値を超えて入金された紙幣はカセットへ》   (設定範囲：0 ～ 4)</t>
  </si>
  <si>
    <t>紙幣,SSW72,b0,0,0 #千円収納庫フル枚数設定 (10、1の位)  《設定値を超えて入金された紙幣はカセットへ》   (設定範囲：0 ～ 99)</t>
  </si>
  <si>
    <t>紙幣,SSW73,b0,100,100 #５千円収納庫フル枚数設定  《設定値を超えて入金された紙幣はカセットへ》   (設定範囲：0 ～ 200)</t>
  </si>
  <si>
    <t>#紙幣,SSW79,上位Ｉ／Ｆの機能設定３</t>
  </si>
  <si>
    <t>紙幣,SSW79,b0,0,1 #(bit0)回収終了条件  《0:空カセットのセット、1:現行機と同様》   (設定範囲：0,1)</t>
  </si>
  <si>
    <t>紙幣,SSW79,b1,0,0 #(bit1)０固定</t>
  </si>
  <si>
    <t>紙幣,SSW79,b2,0,0 #(bit2)０固定</t>
  </si>
  <si>
    <t>紙幣,SSW79,b3,0,0 #(bit3)０固定</t>
  </si>
  <si>
    <t>紙幣,SSW79,b4,0,0 #(bit4)０固定</t>
  </si>
  <si>
    <t>紙幣,SSW79,b5,0,0 #(bit5)０固定</t>
  </si>
  <si>
    <t>紙幣,SSW79,b6,0,0 #(bit6)０固定</t>
  </si>
  <si>
    <t>紙幣,SSW79,b7,0,0 #(bit7)０固定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</si>
</sst>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年&quot;m&quot;月&quot;d&quot;日&quot;"/>
    <numFmt numFmtId="165" formatCode="yyyy/m/d"/>
  </numFmts>
  <fonts count="10">
    <font>
      <sz val="11.0"/>
      <color theme="1"/>
      <name val="Calibri"/>
      <scheme val="minor"/>
    </font>
    <font>
      <sz val="10.0"/>
      <color theme="1"/>
      <name val="Meiryo"/>
    </font>
    <font>
      <sz val="11.0"/>
      <color theme="1"/>
      <name val="Meiryo"/>
    </font>
    <font>
      <b/>
      <sz val="18.0"/>
      <color theme="0"/>
      <name val="Meiryo"/>
    </font>
    <font>
      <b/>
      <sz val="14.0"/>
      <color theme="0"/>
      <name val="Meiryo"/>
    </font>
    <font>
      <b/>
      <sz val="10.0"/>
      <color theme="0"/>
      <name val="Meiryo"/>
    </font>
    <font>
      <b/>
      <sz val="10.0"/>
      <color rgb="FFFFFFFF"/>
      <name val="Meiryo"/>
    </font>
    <font>
      <sz val="10.0"/>
      <color theme="0"/>
      <name val="Meiryo"/>
    </font>
    <font>
      <sz val="10.0"/>
      <color rgb="FFFF0000"/>
      <name val="Meiryo"/>
    </font>
    <font>
      <b/>
      <sz val="14.0"/>
      <color rgb="FFFFFF00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632423"/>
        <bgColor rgb="FF632423"/>
      </patternFill>
    </fill>
    <fill>
      <patternFill patternType="solid">
        <fgColor rgb="FFFDE9D9"/>
        <bgColor rgb="FFFDE9D9"/>
      </patternFill>
    </fill>
  </fills>
  <borders count="38">
    <border/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/>
      <right/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/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FF0000"/>
      </left>
      <right style="medium">
        <color rgb="FFFF0000"/>
      </right>
      <top style="medium">
        <color rgb="FFFF0000"/>
      </top>
      <bottom/>
    </border>
    <border>
      <left style="medium">
        <color rgb="FFFF0000"/>
      </left>
      <right style="medium">
        <color rgb="FFFF0000"/>
      </right>
      <top/>
      <bottom/>
    </border>
    <border>
      <left style="thin">
        <color theme="4"/>
      </left>
      <right style="thin">
        <color theme="4"/>
      </right>
      <top style="thin">
        <color theme="4"/>
      </top>
    </border>
    <border>
      <top style="thin">
        <color theme="4"/>
      </top>
    </border>
    <border>
      <left style="thin">
        <color theme="4"/>
      </left>
      <top style="thin">
        <color theme="4"/>
      </top>
    </border>
    <border>
      <left style="medium">
        <color rgb="FFFF0000"/>
      </left>
      <right style="medium">
        <color rgb="FFFF0000"/>
      </right>
      <top style="thin">
        <color theme="4"/>
      </top>
      <bottom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top style="thin">
        <color theme="4"/>
      </top>
      <bottom style="thin">
        <color theme="4"/>
      </bottom>
    </border>
    <border>
      <right style="medium">
        <color rgb="FFFF0000"/>
      </right>
      <top style="thin">
        <color theme="4"/>
      </top>
      <bottom style="thin">
        <color theme="4"/>
      </bottom>
    </border>
    <border>
      <left style="thin">
        <color theme="4"/>
      </left>
      <right style="thin">
        <color theme="4"/>
      </right>
    </border>
    <border>
      <bottom style="thin">
        <color theme="4"/>
      </bottom>
    </border>
    <border>
      <left style="thin">
        <color theme="4"/>
      </left>
      <bottom style="thin">
        <color theme="4"/>
      </bottom>
    </border>
    <border>
      <left style="medium">
        <color rgb="FFFF0000"/>
      </left>
      <right style="medium">
        <color rgb="FFFF0000"/>
      </right>
      <top/>
      <bottom style="thin">
        <color theme="4"/>
      </bottom>
    </border>
    <border>
      <left style="thin">
        <color theme="4"/>
      </left>
      <top style="thin">
        <color theme="4"/>
      </top>
      <bottom style="thin">
        <color theme="4"/>
      </bottom>
    </border>
    <border>
      <left style="medium">
        <color rgb="FFFF0000"/>
      </left>
      <right style="medium">
        <color rgb="FFFF0000"/>
      </right>
      <top style="thin">
        <color theme="4"/>
      </top>
      <bottom style="medium">
        <color rgb="FFFF0000"/>
      </bottom>
    </border>
    <border>
      <left style="thin">
        <color theme="4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5" fillId="0" fontId="1" numFmtId="49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49" xfId="0" applyAlignment="1" applyBorder="1" applyFont="1" applyNumberForma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8" fillId="3" fontId="1" numFmtId="49" xfId="0" applyAlignment="1" applyBorder="1" applyFill="1" applyFont="1" applyNumberFormat="1">
      <alignment horizontal="center" vertical="center"/>
    </xf>
    <xf borderId="12" fillId="3" fontId="1" numFmtId="164" xfId="0" applyAlignment="1" applyBorder="1" applyFont="1" applyNumberFormat="1">
      <alignment horizontal="center" vertical="center"/>
    </xf>
    <xf borderId="13" fillId="0" fontId="2" numFmtId="49" xfId="0" applyAlignment="1" applyBorder="1" applyFont="1" applyNumberFormat="1">
      <alignment horizontal="center" vertical="center"/>
    </xf>
    <xf borderId="14" fillId="0" fontId="2" numFmtId="164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165" xfId="0" applyAlignment="1" applyFont="1" applyNumberFormat="1">
      <alignment horizontal="center" vertical="center"/>
    </xf>
    <xf borderId="17" fillId="4" fontId="3" numFmtId="0" xfId="0" applyAlignment="1" applyBorder="1" applyFill="1" applyFont="1">
      <alignment vertical="center"/>
    </xf>
    <xf borderId="17" fillId="4" fontId="4" numFmtId="0" xfId="0" applyAlignment="1" applyBorder="1" applyFont="1">
      <alignment vertical="center"/>
    </xf>
    <xf borderId="17" fillId="4" fontId="1" numFmtId="0" xfId="0" applyAlignment="1" applyBorder="1" applyFont="1">
      <alignment vertical="center"/>
    </xf>
    <xf borderId="17" fillId="5" fontId="5" numFmtId="0" xfId="0" applyAlignment="1" applyBorder="1" applyFill="1" applyFont="1">
      <alignment vertical="center"/>
    </xf>
    <xf borderId="17" fillId="5" fontId="5" numFmtId="0" xfId="0" applyAlignment="1" applyBorder="1" applyFont="1">
      <alignment horizontal="center" vertical="center"/>
    </xf>
    <xf borderId="18" fillId="6" fontId="5" numFmtId="0" xfId="0" applyAlignment="1" applyBorder="1" applyFill="1" applyFont="1">
      <alignment horizontal="center" vertical="center"/>
    </xf>
    <xf borderId="17" fillId="5" fontId="6" numFmtId="0" xfId="0" applyAlignment="1" applyBorder="1" applyFont="1">
      <alignment horizontal="center" readingOrder="0" vertical="center"/>
    </xf>
    <xf borderId="19" fillId="6" fontId="6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2" fillId="0" fontId="1" numFmtId="0" xfId="0" applyAlignment="1" applyBorder="1" applyFont="1">
      <alignment horizontal="center" vertical="center"/>
    </xf>
    <xf borderId="23" fillId="7" fontId="1" numFmtId="0" xfId="0" applyAlignment="1" applyBorder="1" applyFill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21" fillId="0" fontId="1" numFmtId="0" xfId="0" applyAlignment="1" applyBorder="1" applyFont="1">
      <alignment shrinkToFit="0" vertical="center" wrapText="1"/>
    </xf>
    <xf borderId="23" fillId="7" fontId="8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29" fillId="0" fontId="1" numFmtId="0" xfId="0" applyAlignment="1" applyBorder="1" applyFont="1">
      <alignment horizontal="center" vertical="center"/>
    </xf>
    <xf borderId="30" fillId="7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vertical="center"/>
    </xf>
    <xf borderId="32" fillId="7" fontId="1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right" vertical="center"/>
    </xf>
    <xf borderId="19" fillId="6" fontId="5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17" fillId="5" fontId="5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34" fillId="0" fontId="1" numFmtId="0" xfId="0" applyAlignment="1" applyBorder="1" applyFont="1">
      <alignment vertical="center"/>
    </xf>
    <xf borderId="35" fillId="0" fontId="1" numFmtId="0" xfId="0" applyAlignment="1" applyBorder="1" applyFont="1">
      <alignment vertical="center"/>
    </xf>
    <xf borderId="36" fillId="0" fontId="1" numFmtId="0" xfId="0" applyAlignment="1" applyBorder="1" applyFont="1">
      <alignment vertical="center"/>
    </xf>
    <xf borderId="37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8.113.216\share\&#12497;&#12540;&#12484;&#12475;&#12531;&#12479;&#12540;&#65298;&#27425;\03%20&#20998;&#32013;&#23550;&#24540;\01%20&#27010;&#35201;&#35373;&#35336;\&#22793;&#26356;&#27010;&#35201;&#35373;&#35336;(20050112bk)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目次"/>
      <sheetName val="1"/>
      <sheetName val="2"/>
      <sheetName val="「分割納期ﾃﾞｰﾀ」ﾚｲｱｳﾄ"/>
      <sheetName val="分割納期ﾃﾞｰﾀ"/>
      <sheetName val="分割納期履歴"/>
      <sheetName val="分割納期削除ﾃﾞｰﾀ"/>
      <sheetName val="納期履歴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マスタスケジュール"/>
      <sheetName val="発注ﾃﾞｰﾀ"/>
      <sheetName val="Sheet1"/>
      <sheetName val="００出張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15.14"/>
    <col customWidth="1" min="3" max="3" width="12.29"/>
    <col customWidth="1" min="4" max="4" width="106.0"/>
    <col customWidth="1" min="5" max="26" width="9.0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7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 t="s">
        <v>4</v>
      </c>
      <c r="B3" s="11">
        <v>42788.0</v>
      </c>
      <c r="C3" s="12" t="s">
        <v>5</v>
      </c>
      <c r="D3" s="13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0"/>
      <c r="B4" s="11"/>
      <c r="C4" s="12"/>
      <c r="D4" s="13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0"/>
      <c r="B5" s="11"/>
      <c r="C5" s="12"/>
      <c r="D5" s="1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0"/>
      <c r="B6" s="11">
        <v>42916.0</v>
      </c>
      <c r="C6" s="12" t="s">
        <v>5</v>
      </c>
      <c r="D6" s="13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0"/>
      <c r="B7" s="11"/>
      <c r="C7" s="12"/>
      <c r="D7" s="13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0"/>
      <c r="B8" s="11"/>
      <c r="C8" s="12"/>
      <c r="D8" s="1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0"/>
      <c r="B9" s="11">
        <v>42921.0</v>
      </c>
      <c r="C9" s="12" t="s">
        <v>5</v>
      </c>
      <c r="D9" s="13" t="s"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0"/>
      <c r="B10" s="11"/>
      <c r="C10" s="12"/>
      <c r="D10" s="13" t="s">
        <v>10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0"/>
      <c r="B11" s="11"/>
      <c r="C11" s="12"/>
      <c r="D11" s="1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0"/>
      <c r="B12" s="11">
        <v>42930.0</v>
      </c>
      <c r="C12" s="12" t="s">
        <v>5</v>
      </c>
      <c r="D12" s="13" t="s">
        <v>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0"/>
      <c r="B13" s="11"/>
      <c r="C13" s="12"/>
      <c r="D13" s="13" t="s">
        <v>11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0"/>
      <c r="B14" s="11"/>
      <c r="C14" s="12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0" t="s">
        <v>12</v>
      </c>
      <c r="B15" s="11">
        <v>42948.0</v>
      </c>
      <c r="C15" s="12" t="s">
        <v>5</v>
      </c>
      <c r="D15" s="13" t="s">
        <v>13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4"/>
      <c r="B16" s="15"/>
      <c r="C16" s="12"/>
      <c r="D16" s="13" t="s">
        <v>14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0"/>
      <c r="B17" s="11"/>
      <c r="C17" s="12"/>
      <c r="D17" s="13" t="s">
        <v>15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0"/>
      <c r="B18" s="11"/>
      <c r="C18" s="12"/>
      <c r="D18" s="13" t="s">
        <v>16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0"/>
      <c r="B19" s="11"/>
      <c r="C19" s="12"/>
      <c r="D19" s="13" t="s">
        <v>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0"/>
      <c r="B20" s="11"/>
      <c r="C20" s="12"/>
      <c r="D20" s="13" t="s">
        <v>18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0"/>
      <c r="B21" s="11"/>
      <c r="C21" s="12"/>
      <c r="D21" s="13" t="s">
        <v>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0"/>
      <c r="B22" s="11"/>
      <c r="C22" s="12"/>
      <c r="D22" s="13" t="s">
        <v>19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0"/>
      <c r="B23" s="11"/>
      <c r="C23" s="12"/>
      <c r="D23" s="13" t="s">
        <v>20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0"/>
      <c r="B24" s="11"/>
      <c r="C24" s="12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0" t="s">
        <v>21</v>
      </c>
      <c r="B25" s="11">
        <v>42956.0</v>
      </c>
      <c r="C25" s="12" t="s">
        <v>5</v>
      </c>
      <c r="D25" s="13" t="s">
        <v>13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0"/>
      <c r="B26" s="11"/>
      <c r="C26" s="12"/>
      <c r="D26" s="13" t="s">
        <v>22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0"/>
      <c r="B27" s="11"/>
      <c r="C27" s="12"/>
      <c r="D27" s="13" t="s">
        <v>23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0"/>
      <c r="B28" s="11"/>
      <c r="C28" s="12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0" t="s">
        <v>24</v>
      </c>
      <c r="B29" s="11">
        <v>42984.0</v>
      </c>
      <c r="C29" s="12" t="s">
        <v>5</v>
      </c>
      <c r="D29" s="13" t="s">
        <v>13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0"/>
      <c r="B30" s="11"/>
      <c r="C30" s="12"/>
      <c r="D30" s="13" t="s">
        <v>25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0"/>
      <c r="B31" s="11"/>
      <c r="C31" s="12"/>
      <c r="D31" s="13" t="s">
        <v>26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0"/>
      <c r="B32" s="11"/>
      <c r="C32" s="12"/>
      <c r="D32" s="13" t="s">
        <v>27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0"/>
      <c r="B33" s="11"/>
      <c r="C33" s="12"/>
      <c r="D33" s="13" t="s">
        <v>28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0"/>
      <c r="B34" s="11"/>
      <c r="C34" s="12"/>
      <c r="D34" s="13" t="s">
        <v>29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0"/>
      <c r="B35" s="11"/>
      <c r="C35" s="12"/>
      <c r="D35" s="13" t="s">
        <v>30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0"/>
      <c r="B36" s="11"/>
      <c r="C36" s="12"/>
      <c r="D36" s="13" t="s">
        <v>31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/>
      <c r="B37" s="11"/>
      <c r="C37" s="12"/>
      <c r="D37" s="13" t="s">
        <v>32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0"/>
      <c r="B38" s="11"/>
      <c r="C38" s="12"/>
      <c r="D38" s="13" t="s">
        <v>33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0"/>
      <c r="B39" s="11"/>
      <c r="C39" s="12"/>
      <c r="D39" s="13" t="s">
        <v>34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0"/>
      <c r="B40" s="11"/>
      <c r="C40" s="12"/>
      <c r="D40" s="13" t="s">
        <v>35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0"/>
      <c r="B41" s="11"/>
      <c r="C41" s="12"/>
      <c r="D41" s="13" t="s">
        <v>36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0"/>
      <c r="B42" s="11"/>
      <c r="C42" s="12"/>
      <c r="D42" s="13" t="s">
        <v>37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0"/>
      <c r="B43" s="11"/>
      <c r="C43" s="12"/>
      <c r="D43" s="13" t="s">
        <v>38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0"/>
      <c r="B44" s="11"/>
      <c r="C44" s="12"/>
      <c r="D44" s="13" t="s">
        <v>39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0"/>
      <c r="B45" s="11"/>
      <c r="C45" s="12"/>
      <c r="D45" s="13" t="s">
        <v>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0"/>
      <c r="B46" s="11"/>
      <c r="C46" s="12"/>
      <c r="D46" s="13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0"/>
      <c r="B47" s="11"/>
      <c r="C47" s="12"/>
      <c r="D47" s="13" t="s">
        <v>41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0"/>
      <c r="B48" s="11"/>
      <c r="C48" s="12"/>
      <c r="D48" s="13" t="s">
        <v>42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0"/>
      <c r="B49" s="11"/>
      <c r="C49" s="12"/>
      <c r="D49" s="13" t="s">
        <v>43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0"/>
      <c r="B50" s="11"/>
      <c r="C50" s="12"/>
      <c r="D50" s="13" t="s">
        <v>44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0"/>
      <c r="B51" s="11"/>
      <c r="C51" s="12"/>
      <c r="D51" s="13" t="s">
        <v>45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"/>
      <c r="B52" s="11"/>
      <c r="C52" s="12"/>
      <c r="D52" s="13" t="s">
        <v>46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0"/>
      <c r="B53" s="11"/>
      <c r="C53" s="12"/>
      <c r="D53" s="13" t="s">
        <v>47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0"/>
      <c r="B54" s="11"/>
      <c r="C54" s="12"/>
      <c r="D54" s="13" t="s">
        <v>48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0"/>
      <c r="B55" s="11"/>
      <c r="C55" s="12"/>
      <c r="D55" s="1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0" t="s">
        <v>49</v>
      </c>
      <c r="B56" s="11">
        <v>43000.0</v>
      </c>
      <c r="C56" s="12" t="s">
        <v>5</v>
      </c>
      <c r="D56" s="13" t="s">
        <v>13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0"/>
      <c r="B57" s="11"/>
      <c r="C57" s="12"/>
      <c r="D57" s="13" t="s">
        <v>50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0"/>
      <c r="B58" s="11"/>
      <c r="C58" s="12"/>
      <c r="D58" s="1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0"/>
      <c r="B59" s="11"/>
      <c r="C59" s="12"/>
      <c r="D59" s="1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/>
      <c r="B60" s="17"/>
      <c r="C60" s="18"/>
      <c r="D60" s="19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orizontalCentered="1"/>
  <pageMargins bottom="0.3937007874015748" footer="0.0" header="0.0" left="0.1968503937007874" right="0.1968503937007874" top="0.5905511811023623"/>
  <pageSetup paperSize="9" scale="98" orientation="landscape"/>
  <headerFooter>
    <oddFooter>&amp;C&amp;P&amp;RCopyright(C) SHARP BUSINESS SOLUTIONS CORPORATION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1.43"/>
    <col customWidth="1" min="3" max="3" width="6.29"/>
    <col customWidth="1" min="4" max="4" width="6.57"/>
    <col customWidth="1" min="5" max="5" width="38.43"/>
    <col customWidth="1" min="6" max="6" width="52.86"/>
    <col customWidth="1" min="7" max="7" width="10.57"/>
    <col customWidth="1" min="8" max="11" width="9.0"/>
    <col customWidth="1" min="12" max="26" width="8.71"/>
  </cols>
  <sheetData>
    <row r="1" ht="14.25" customHeight="1">
      <c r="A1" s="20"/>
      <c r="B1" s="20"/>
      <c r="C1" s="20"/>
      <c r="D1" s="20"/>
      <c r="E1" s="20"/>
      <c r="F1" s="20"/>
      <c r="G1" s="21" t="s">
        <v>51</v>
      </c>
      <c r="H1" s="22">
        <v>43000.0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.0" customHeight="1">
      <c r="A2" s="20"/>
      <c r="B2" s="23" t="s">
        <v>52</v>
      </c>
      <c r="C2" s="24"/>
      <c r="D2" s="24"/>
      <c r="E2" s="25"/>
      <c r="F2" s="25"/>
      <c r="G2" s="25"/>
      <c r="H2" s="25"/>
      <c r="I2" s="25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20"/>
      <c r="B4" s="20"/>
      <c r="C4" s="26"/>
      <c r="D4" s="26"/>
      <c r="E4" s="26"/>
      <c r="F4" s="26"/>
      <c r="G4" s="27"/>
      <c r="H4" s="27"/>
      <c r="I4" s="2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20"/>
      <c r="B5" s="20"/>
      <c r="C5" s="27" t="s">
        <v>53</v>
      </c>
      <c r="D5" s="26" t="s">
        <v>54</v>
      </c>
      <c r="E5" s="26"/>
      <c r="F5" s="26" t="s">
        <v>55</v>
      </c>
      <c r="G5" s="27" t="s">
        <v>56</v>
      </c>
      <c r="H5" s="29" t="s">
        <v>57</v>
      </c>
      <c r="I5" s="30" t="s">
        <v>58</v>
      </c>
      <c r="J5" s="20"/>
      <c r="K5" s="20" t="s">
        <v>59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/>
      <c r="B6" s="20"/>
      <c r="C6" s="31">
        <v>1.0</v>
      </c>
      <c r="D6" s="32" t="s">
        <v>60</v>
      </c>
      <c r="E6" s="32"/>
      <c r="F6" s="33" t="s">
        <v>61</v>
      </c>
      <c r="G6" s="34" t="s">
        <v>62</v>
      </c>
      <c r="H6" s="34">
        <v>10.0</v>
      </c>
      <c r="I6" s="35">
        <v>10.0</v>
      </c>
      <c r="J6" s="20"/>
      <c r="K6" s="20" t="str">
        <f t="shared" ref="K6:K120" si="1">IF(TRIM(E6 &amp; G6)="","#" &amp; "硬貨,SSW"&amp;C6 &amp; "," &amp; D6,"硬貨,SSW"&amp;C6 &amp; ",b" &amp;  IF(MID(D6,1,4)="(bit",MID(D6,5,1),"0") &amp; "," &amp; H6 &amp; "," &amp; I6 &amp; " #" &amp; D6 &amp; E6 &amp;IF(F6="","", "  《" &amp; F6 &amp; "》  ") &amp; IF(G6&lt;&gt;""," (設定範囲：" &amp; G6 &amp; ")",""))</f>
        <v>硬貨,SSW1,b0,10,10 #５００円収納庫ニアエンプティ枚数設定  《設定値以下ならニアエンプティ判断》   (設定範囲：0 ～ 40)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/>
      <c r="B7" s="20"/>
      <c r="C7" s="31">
        <v>2.0</v>
      </c>
      <c r="D7" s="32" t="s">
        <v>63</v>
      </c>
      <c r="E7" s="32"/>
      <c r="F7" s="33" t="s">
        <v>61</v>
      </c>
      <c r="G7" s="34" t="s">
        <v>62</v>
      </c>
      <c r="H7" s="34">
        <v>20.0</v>
      </c>
      <c r="I7" s="35">
        <v>20.0</v>
      </c>
      <c r="J7" s="20"/>
      <c r="K7" s="20" t="str">
        <f t="shared" si="1"/>
        <v>硬貨,SSW2,b0,20,20 #１００円収納庫ニアエンプティ枚数設定  《設定値以下ならニアエンプティ判断》   (設定範囲：0 ～ 40)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/>
      <c r="B8" s="20"/>
      <c r="C8" s="31">
        <v>3.0</v>
      </c>
      <c r="D8" s="32" t="s">
        <v>64</v>
      </c>
      <c r="E8" s="32"/>
      <c r="F8" s="33" t="s">
        <v>61</v>
      </c>
      <c r="G8" s="34" t="s">
        <v>62</v>
      </c>
      <c r="H8" s="34">
        <v>20.0</v>
      </c>
      <c r="I8" s="35">
        <v>20.0</v>
      </c>
      <c r="J8" s="20"/>
      <c r="K8" s="20" t="str">
        <f t="shared" si="1"/>
        <v>硬貨,SSW3,b0,20,20 #５０円収納庫ニアエンプティ枚数設定  《設定値以下ならニアエンプティ判断》   (設定範囲：0 ～ 40)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/>
      <c r="B9" s="20"/>
      <c r="C9" s="31">
        <v>4.0</v>
      </c>
      <c r="D9" s="32" t="s">
        <v>65</v>
      </c>
      <c r="E9" s="32"/>
      <c r="F9" s="33" t="s">
        <v>61</v>
      </c>
      <c r="G9" s="34" t="s">
        <v>62</v>
      </c>
      <c r="H9" s="34">
        <v>20.0</v>
      </c>
      <c r="I9" s="35">
        <v>20.0</v>
      </c>
      <c r="J9" s="20"/>
      <c r="K9" s="20" t="str">
        <f t="shared" si="1"/>
        <v>硬貨,SSW4,b0,20,20 #１０円収納庫ニアエンプティ枚数設定  《設定値以下ならニアエンプティ判断》   (設定範囲：0 ～ 40)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/>
      <c r="B10" s="20"/>
      <c r="C10" s="31">
        <v>5.0</v>
      </c>
      <c r="D10" s="32" t="s">
        <v>66</v>
      </c>
      <c r="E10" s="32"/>
      <c r="F10" s="33" t="s">
        <v>61</v>
      </c>
      <c r="G10" s="34" t="s">
        <v>62</v>
      </c>
      <c r="H10" s="34">
        <v>20.0</v>
      </c>
      <c r="I10" s="35">
        <v>20.0</v>
      </c>
      <c r="J10" s="20"/>
      <c r="K10" s="20" t="str">
        <f t="shared" si="1"/>
        <v>硬貨,SSW5,b0,20,20 #５円収納庫ニアエンプティ枚数設定  《設定値以下ならニアエンプティ判断》   (設定範囲：0 ～ 40)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0"/>
      <c r="B11" s="20"/>
      <c r="C11" s="31">
        <v>6.0</v>
      </c>
      <c r="D11" s="32" t="s">
        <v>67</v>
      </c>
      <c r="E11" s="32"/>
      <c r="F11" s="33" t="s">
        <v>61</v>
      </c>
      <c r="G11" s="34" t="s">
        <v>62</v>
      </c>
      <c r="H11" s="34">
        <v>20.0</v>
      </c>
      <c r="I11" s="35">
        <v>20.0</v>
      </c>
      <c r="J11" s="20"/>
      <c r="K11" s="20" t="str">
        <f t="shared" si="1"/>
        <v>硬貨,SSW6,b0,20,20 #１円収納庫ニアエンプティ枚数設定  《設定値以下ならニアエンプティ判断》   (設定範囲：0 ～ 40)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0"/>
      <c r="B12" s="20"/>
      <c r="C12" s="31">
        <v>7.0</v>
      </c>
      <c r="D12" s="32" t="s">
        <v>68</v>
      </c>
      <c r="E12" s="32"/>
      <c r="F12" s="33" t="s">
        <v>69</v>
      </c>
      <c r="G12" s="34" t="s">
        <v>70</v>
      </c>
      <c r="H12" s="34">
        <v>95.0</v>
      </c>
      <c r="I12" s="35">
        <v>95.0</v>
      </c>
      <c r="J12" s="20"/>
      <c r="K12" s="20" t="str">
        <f t="shared" si="1"/>
        <v>硬貨,SSW7,b0,95,95 #５００円収納庫ニアフル枚数設定  《設定値以上ならニアフル判断》   (設定範囲：41 ～ 105)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0"/>
      <c r="B13" s="20"/>
      <c r="C13" s="31">
        <v>8.0</v>
      </c>
      <c r="D13" s="32" t="s">
        <v>71</v>
      </c>
      <c r="E13" s="32"/>
      <c r="F13" s="33" t="s">
        <v>69</v>
      </c>
      <c r="G13" s="34" t="s">
        <v>72</v>
      </c>
      <c r="H13" s="34">
        <v>150.0</v>
      </c>
      <c r="I13" s="35">
        <v>150.0</v>
      </c>
      <c r="J13" s="20"/>
      <c r="K13" s="20" t="str">
        <f t="shared" si="1"/>
        <v>硬貨,SSW8,b0,150,150 #１００円収納庫ニアフル枚数設定  《設定値以上ならニアフル判断》   (設定範囲：41 ～ 160)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0"/>
      <c r="B14" s="20"/>
      <c r="C14" s="31">
        <v>9.0</v>
      </c>
      <c r="D14" s="32" t="s">
        <v>73</v>
      </c>
      <c r="E14" s="32"/>
      <c r="F14" s="33" t="s">
        <v>69</v>
      </c>
      <c r="G14" s="34" t="s">
        <v>74</v>
      </c>
      <c r="H14" s="34">
        <v>110.0</v>
      </c>
      <c r="I14" s="35">
        <v>110.0</v>
      </c>
      <c r="J14" s="20"/>
      <c r="K14" s="20" t="str">
        <f t="shared" si="1"/>
        <v>硬貨,SSW9,b0,110,110 #５０円収納庫ニアフル枚数設定  《設定値以上ならニアフル判断》   (設定範囲：41 ～ 120)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0"/>
      <c r="B15" s="20"/>
      <c r="C15" s="31">
        <v>10.0</v>
      </c>
      <c r="D15" s="32" t="s">
        <v>75</v>
      </c>
      <c r="E15" s="32"/>
      <c r="F15" s="33" t="s">
        <v>69</v>
      </c>
      <c r="G15" s="34" t="s">
        <v>72</v>
      </c>
      <c r="H15" s="34">
        <v>150.0</v>
      </c>
      <c r="I15" s="35">
        <v>150.0</v>
      </c>
      <c r="J15" s="20"/>
      <c r="K15" s="20" t="str">
        <f t="shared" si="1"/>
        <v>硬貨,SSW10,b0,150,150 #１０円収納庫ニアフル枚数設定  《設定値以上ならニアフル判断》   (設定範囲：41 ～ 160)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0"/>
      <c r="B16" s="20"/>
      <c r="C16" s="31">
        <v>11.0</v>
      </c>
      <c r="D16" s="32" t="s">
        <v>76</v>
      </c>
      <c r="E16" s="32"/>
      <c r="F16" s="33" t="s">
        <v>69</v>
      </c>
      <c r="G16" s="34" t="s">
        <v>74</v>
      </c>
      <c r="H16" s="34">
        <v>110.0</v>
      </c>
      <c r="I16" s="35">
        <v>110.0</v>
      </c>
      <c r="J16" s="20"/>
      <c r="K16" s="20" t="str">
        <f t="shared" si="1"/>
        <v>硬貨,SSW11,b0,110,110 #５円収納庫ニアフル枚数設定  《設定値以上ならニアフル判断》   (設定範囲：41 ～ 120)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0"/>
      <c r="B17" s="20"/>
      <c r="C17" s="36">
        <v>12.0</v>
      </c>
      <c r="D17" s="32" t="s">
        <v>77</v>
      </c>
      <c r="E17" s="32"/>
      <c r="F17" s="33" t="s">
        <v>69</v>
      </c>
      <c r="G17" s="34" t="s">
        <v>72</v>
      </c>
      <c r="H17" s="34">
        <v>150.0</v>
      </c>
      <c r="I17" s="35">
        <v>150.0</v>
      </c>
      <c r="J17" s="20"/>
      <c r="K17" s="20" t="str">
        <f t="shared" si="1"/>
        <v>硬貨,SSW12,b0,150,150 #１円収納庫ニアフル枚数設定  《設定値以上ならニアフル判断》   (設定範囲：41 ～ 160)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0"/>
      <c r="B18" s="20"/>
      <c r="C18" s="31">
        <v>14.0</v>
      </c>
      <c r="D18" s="37" t="s">
        <v>78</v>
      </c>
      <c r="E18" s="37"/>
      <c r="F18" s="37"/>
      <c r="G18" s="38"/>
      <c r="H18" s="39"/>
      <c r="I18" s="35"/>
      <c r="J18" s="20"/>
      <c r="K18" s="20" t="str">
        <f t="shared" si="1"/>
        <v>#硬貨,SSW14,補充処理内容の設定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0"/>
      <c r="B19" s="20"/>
      <c r="C19" s="40">
        <f t="shared" ref="C19:C26" si="2">C18</f>
        <v>14</v>
      </c>
      <c r="D19" s="31" t="s">
        <v>79</v>
      </c>
      <c r="E19" s="32" t="s">
        <v>80</v>
      </c>
      <c r="F19" s="33" t="s">
        <v>81</v>
      </c>
      <c r="G19" s="34" t="s">
        <v>82</v>
      </c>
      <c r="H19" s="34">
        <v>0.0</v>
      </c>
      <c r="I19" s="35">
        <v>1.0</v>
      </c>
      <c r="J19" s="20"/>
      <c r="K19" s="20" t="str">
        <f t="shared" si="1"/>
        <v>硬貨,SSW14,b0,0,1 #(bit0)待機中【補充】押下による補充処理開始  《0:有効、1:無効》   (設定範囲：0,1)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0"/>
      <c r="B20" s="20"/>
      <c r="C20" s="40">
        <f t="shared" si="2"/>
        <v>14</v>
      </c>
      <c r="D20" s="31" t="s">
        <v>83</v>
      </c>
      <c r="E20" s="32" t="s">
        <v>84</v>
      </c>
      <c r="F20" s="33"/>
      <c r="G20" s="34"/>
      <c r="H20" s="34">
        <v>0.0</v>
      </c>
      <c r="I20" s="35">
        <v>0.0</v>
      </c>
      <c r="J20" s="20"/>
      <c r="K20" s="20" t="str">
        <f t="shared" si="1"/>
        <v>硬貨,SSW14,b1,0,0 #(bit1)０固定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40">
        <f t="shared" si="2"/>
        <v>14</v>
      </c>
      <c r="D21" s="31" t="s">
        <v>85</v>
      </c>
      <c r="E21" s="32" t="s">
        <v>84</v>
      </c>
      <c r="F21" s="33"/>
      <c r="G21" s="34"/>
      <c r="H21" s="34">
        <v>0.0</v>
      </c>
      <c r="I21" s="35">
        <v>0.0</v>
      </c>
      <c r="J21" s="20"/>
      <c r="K21" s="20" t="str">
        <f t="shared" si="1"/>
        <v>硬貨,SSW14,b2,0,0 #(bit2)０固定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40">
        <f t="shared" si="2"/>
        <v>14</v>
      </c>
      <c r="D22" s="31" t="s">
        <v>86</v>
      </c>
      <c r="E22" s="32" t="s">
        <v>84</v>
      </c>
      <c r="F22" s="33"/>
      <c r="G22" s="34"/>
      <c r="H22" s="34">
        <v>0.0</v>
      </c>
      <c r="I22" s="35">
        <v>0.0</v>
      </c>
      <c r="J22" s="20"/>
      <c r="K22" s="20" t="str">
        <f t="shared" si="1"/>
        <v>硬貨,SSW14,b3,0,0 #(bit3)０固定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40">
        <f t="shared" si="2"/>
        <v>14</v>
      </c>
      <c r="D23" s="31" t="s">
        <v>87</v>
      </c>
      <c r="E23" s="32" t="s">
        <v>84</v>
      </c>
      <c r="F23" s="33"/>
      <c r="G23" s="34"/>
      <c r="H23" s="34">
        <v>0.0</v>
      </c>
      <c r="I23" s="35">
        <v>0.0</v>
      </c>
      <c r="J23" s="20"/>
      <c r="K23" s="20" t="str">
        <f t="shared" si="1"/>
        <v>硬貨,SSW14,b4,0,0 #(bit4)０固定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40">
        <f t="shared" si="2"/>
        <v>14</v>
      </c>
      <c r="D24" s="31" t="s">
        <v>88</v>
      </c>
      <c r="E24" s="32" t="s">
        <v>89</v>
      </c>
      <c r="F24" s="33" t="s">
        <v>90</v>
      </c>
      <c r="G24" s="34" t="s">
        <v>82</v>
      </c>
      <c r="H24" s="34">
        <v>0.0</v>
      </c>
      <c r="I24" s="35">
        <v>1.0</v>
      </c>
      <c r="J24" s="20"/>
      <c r="K24" s="20" t="str">
        <f t="shared" si="1"/>
        <v>硬貨,SSW14,b5,0,1 #(bit5)補充処理開始  《預かり金計数、現金管理機モードのみ有効》   (設定範囲：0,1)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40">
        <f t="shared" si="2"/>
        <v>14</v>
      </c>
      <c r="D25" s="31" t="s">
        <v>91</v>
      </c>
      <c r="E25" s="32" t="s">
        <v>84</v>
      </c>
      <c r="F25" s="33"/>
      <c r="G25" s="34"/>
      <c r="H25" s="34">
        <v>0.0</v>
      </c>
      <c r="I25" s="35">
        <v>0.0</v>
      </c>
      <c r="J25" s="20"/>
      <c r="K25" s="20" t="str">
        <f t="shared" si="1"/>
        <v>硬貨,SSW14,b6,0,0 #(bit6)０固定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40">
        <f t="shared" si="2"/>
        <v>14</v>
      </c>
      <c r="D26" s="36" t="s">
        <v>92</v>
      </c>
      <c r="E26" s="32" t="s">
        <v>93</v>
      </c>
      <c r="F26" s="33"/>
      <c r="G26" s="34"/>
      <c r="H26" s="34">
        <v>1.0</v>
      </c>
      <c r="I26" s="35">
        <v>1.0</v>
      </c>
      <c r="J26" s="20"/>
      <c r="K26" s="20" t="str">
        <f t="shared" si="1"/>
        <v>硬貨,SSW14,b7,1,1 #(bit7)１固定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31">
        <v>15.0</v>
      </c>
      <c r="D27" s="37" t="s">
        <v>94</v>
      </c>
      <c r="E27" s="37"/>
      <c r="F27" s="37"/>
      <c r="G27" s="38"/>
      <c r="H27" s="39"/>
      <c r="I27" s="35"/>
      <c r="J27" s="20"/>
      <c r="K27" s="20" t="str">
        <f t="shared" si="1"/>
        <v>#硬貨,SSW15,出金処理の機能設定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40">
        <f t="shared" ref="C28:C35" si="3">C27</f>
        <v>15</v>
      </c>
      <c r="D28" s="31" t="s">
        <v>79</v>
      </c>
      <c r="E28" s="32" t="s">
        <v>95</v>
      </c>
      <c r="F28" s="33" t="s">
        <v>96</v>
      </c>
      <c r="G28" s="34" t="s">
        <v>82</v>
      </c>
      <c r="H28" s="34">
        <v>0.0</v>
      </c>
      <c r="I28" s="35">
        <v>0.0</v>
      </c>
      <c r="J28" s="20"/>
      <c r="K28" s="20" t="str">
        <f t="shared" si="1"/>
        <v>硬貨,SSW15,b0,0,0 #(bit0)【払い出し】ボタン  《0:無効、1:有効、》   (設定範囲：0,1)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40">
        <f t="shared" si="3"/>
        <v>15</v>
      </c>
      <c r="D29" s="31" t="s">
        <v>83</v>
      </c>
      <c r="E29" s="32" t="s">
        <v>97</v>
      </c>
      <c r="F29" s="33" t="s">
        <v>98</v>
      </c>
      <c r="G29" s="34" t="s">
        <v>82</v>
      </c>
      <c r="H29" s="34">
        <v>0.0</v>
      </c>
      <c r="I29" s="35">
        <v>0.0</v>
      </c>
      <c r="J29" s="20"/>
      <c r="K29" s="20" t="str">
        <f t="shared" si="1"/>
        <v>硬貨,SSW15,b1,0,0 #(bit1)【払い出し】ボタン有効となる鍵位置  《0:運用 or 管理、1:管理のみ》   (設定範囲：0,1)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40">
        <f t="shared" si="3"/>
        <v>15</v>
      </c>
      <c r="D30" s="31" t="s">
        <v>85</v>
      </c>
      <c r="E30" s="32" t="s">
        <v>84</v>
      </c>
      <c r="F30" s="33"/>
      <c r="G30" s="34"/>
      <c r="H30" s="34">
        <v>0.0</v>
      </c>
      <c r="I30" s="35">
        <v>0.0</v>
      </c>
      <c r="J30" s="20"/>
      <c r="K30" s="20" t="str">
        <f t="shared" si="1"/>
        <v>硬貨,SSW15,b2,0,0 #(bit2)０固定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40">
        <f t="shared" si="3"/>
        <v>15</v>
      </c>
      <c r="D31" s="31" t="s">
        <v>86</v>
      </c>
      <c r="E31" s="32" t="s">
        <v>84</v>
      </c>
      <c r="F31" s="33"/>
      <c r="G31" s="34"/>
      <c r="H31" s="34">
        <v>0.0</v>
      </c>
      <c r="I31" s="35">
        <v>0.0</v>
      </c>
      <c r="J31" s="20"/>
      <c r="K31" s="20" t="str">
        <f t="shared" si="1"/>
        <v>硬貨,SSW15,b3,0,0 #(bit3)０固定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40">
        <f t="shared" si="3"/>
        <v>15</v>
      </c>
      <c r="D32" s="31" t="s">
        <v>87</v>
      </c>
      <c r="E32" s="32" t="s">
        <v>84</v>
      </c>
      <c r="F32" s="33"/>
      <c r="G32" s="34"/>
      <c r="H32" s="34">
        <v>0.0</v>
      </c>
      <c r="I32" s="35">
        <v>0.0</v>
      </c>
      <c r="J32" s="20"/>
      <c r="K32" s="20" t="str">
        <f t="shared" si="1"/>
        <v>硬貨,SSW15,b4,0,0 #(bit4)０固定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40">
        <f t="shared" si="3"/>
        <v>15</v>
      </c>
      <c r="D33" s="31" t="s">
        <v>88</v>
      </c>
      <c r="E33" s="32" t="s">
        <v>84</v>
      </c>
      <c r="F33" s="33"/>
      <c r="G33" s="34"/>
      <c r="H33" s="34">
        <v>0.0</v>
      </c>
      <c r="I33" s="35">
        <v>0.0</v>
      </c>
      <c r="J33" s="20"/>
      <c r="K33" s="20" t="str">
        <f t="shared" si="1"/>
        <v>硬貨,SSW15,b5,0,0 #(bit5)０固定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40">
        <f t="shared" si="3"/>
        <v>15</v>
      </c>
      <c r="D34" s="31" t="s">
        <v>91</v>
      </c>
      <c r="E34" s="32" t="s">
        <v>84</v>
      </c>
      <c r="F34" s="33"/>
      <c r="G34" s="34"/>
      <c r="H34" s="34">
        <v>0.0</v>
      </c>
      <c r="I34" s="35">
        <v>0.0</v>
      </c>
      <c r="J34" s="20"/>
      <c r="K34" s="20" t="str">
        <f t="shared" si="1"/>
        <v>硬貨,SSW15,b6,0,0 #(bit6)０固定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40">
        <f t="shared" si="3"/>
        <v>15</v>
      </c>
      <c r="D35" s="36" t="s">
        <v>92</v>
      </c>
      <c r="E35" s="32" t="s">
        <v>84</v>
      </c>
      <c r="F35" s="33"/>
      <c r="G35" s="34"/>
      <c r="H35" s="34">
        <v>0.0</v>
      </c>
      <c r="I35" s="35">
        <v>0.0</v>
      </c>
      <c r="J35" s="20"/>
      <c r="K35" s="20" t="str">
        <f t="shared" si="1"/>
        <v>硬貨,SSW15,b7,0,0 #(bit7)０固定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31">
        <v>22.0</v>
      </c>
      <c r="D36" s="37" t="s">
        <v>99</v>
      </c>
      <c r="E36" s="37"/>
      <c r="F36" s="37"/>
      <c r="G36" s="38"/>
      <c r="H36" s="39"/>
      <c r="I36" s="35"/>
      <c r="J36" s="20"/>
      <c r="K36" s="20" t="str">
        <f t="shared" si="1"/>
        <v>#硬貨,SSW22,個別回収処理内容の設定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40">
        <f t="shared" ref="C37:C44" si="4">C36</f>
        <v>22</v>
      </c>
      <c r="D37" s="31" t="s">
        <v>79</v>
      </c>
      <c r="E37" s="32" t="s">
        <v>100</v>
      </c>
      <c r="F37" s="33" t="s">
        <v>101</v>
      </c>
      <c r="G37" s="34" t="s">
        <v>82</v>
      </c>
      <c r="H37" s="34">
        <v>1.0</v>
      </c>
      <c r="I37" s="35">
        <v>0.0</v>
      </c>
      <c r="J37" s="20"/>
      <c r="K37" s="20" t="str">
        <f t="shared" si="1"/>
        <v>硬貨,SSW22,b0,1,0 #(bit0)個別回収選択  《0:無効、1:有効》   (設定範囲：0,1)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40">
        <f t="shared" si="4"/>
        <v>22</v>
      </c>
      <c r="D38" s="31" t="s">
        <v>83</v>
      </c>
      <c r="E38" s="32" t="s">
        <v>102</v>
      </c>
      <c r="F38" s="33" t="s">
        <v>101</v>
      </c>
      <c r="G38" s="34" t="s">
        <v>82</v>
      </c>
      <c r="H38" s="34">
        <v>0.0</v>
      </c>
      <c r="I38" s="35">
        <v>0.0</v>
      </c>
      <c r="J38" s="20"/>
      <c r="K38" s="20" t="str">
        <f t="shared" si="1"/>
        <v>硬貨,SSW22,b1,0,0 #(bit1)トレーフルセンサ検知機能  《0:無効、1:有効》   (設定範囲：0,1)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40">
        <f t="shared" si="4"/>
        <v>22</v>
      </c>
      <c r="D39" s="31" t="s">
        <v>85</v>
      </c>
      <c r="E39" s="32" t="s">
        <v>103</v>
      </c>
      <c r="F39" s="33" t="s">
        <v>101</v>
      </c>
      <c r="G39" s="34" t="s">
        <v>82</v>
      </c>
      <c r="H39" s="34">
        <v>1.0</v>
      </c>
      <c r="I39" s="35">
        <v>1.0</v>
      </c>
      <c r="J39" s="20"/>
      <c r="K39" s="20" t="str">
        <f t="shared" si="1"/>
        <v>硬貨,SSW22,b2,1,1 #(bit2)E59-*1エラー時の個別回収で在高クリア  《0:無効、1:有効》   (設定範囲：0,1)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40">
        <f t="shared" si="4"/>
        <v>22</v>
      </c>
      <c r="D40" s="31" t="s">
        <v>86</v>
      </c>
      <c r="E40" s="32" t="s">
        <v>84</v>
      </c>
      <c r="F40" s="33"/>
      <c r="G40" s="34"/>
      <c r="H40" s="34">
        <v>0.0</v>
      </c>
      <c r="I40" s="35">
        <v>0.0</v>
      </c>
      <c r="J40" s="20"/>
      <c r="K40" s="20" t="str">
        <f t="shared" si="1"/>
        <v>硬貨,SSW22,b3,0,0 #(bit3)０固定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40">
        <f t="shared" si="4"/>
        <v>22</v>
      </c>
      <c r="D41" s="31" t="s">
        <v>87</v>
      </c>
      <c r="E41" s="32" t="s">
        <v>84</v>
      </c>
      <c r="F41" s="33"/>
      <c r="G41" s="34"/>
      <c r="H41" s="34">
        <v>0.0</v>
      </c>
      <c r="I41" s="35">
        <v>0.0</v>
      </c>
      <c r="J41" s="20"/>
      <c r="K41" s="20" t="str">
        <f t="shared" si="1"/>
        <v>硬貨,SSW22,b4,0,0 #(bit4)０固定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40">
        <f t="shared" si="4"/>
        <v>22</v>
      </c>
      <c r="D42" s="31" t="s">
        <v>88</v>
      </c>
      <c r="E42" s="32" t="s">
        <v>84</v>
      </c>
      <c r="F42" s="33"/>
      <c r="G42" s="34"/>
      <c r="H42" s="34">
        <v>0.0</v>
      </c>
      <c r="I42" s="35">
        <v>0.0</v>
      </c>
      <c r="J42" s="20"/>
      <c r="K42" s="20" t="str">
        <f t="shared" si="1"/>
        <v>硬貨,SSW22,b5,0,0 #(bit5)０固定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40">
        <f t="shared" si="4"/>
        <v>22</v>
      </c>
      <c r="D43" s="31" t="s">
        <v>91</v>
      </c>
      <c r="E43" s="32" t="s">
        <v>84</v>
      </c>
      <c r="F43" s="33"/>
      <c r="G43" s="34"/>
      <c r="H43" s="34">
        <v>0.0</v>
      </c>
      <c r="I43" s="35">
        <v>0.0</v>
      </c>
      <c r="J43" s="20"/>
      <c r="K43" s="20" t="str">
        <f t="shared" si="1"/>
        <v>硬貨,SSW22,b6,0,0 #(bit6)０固定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40">
        <f t="shared" si="4"/>
        <v>22</v>
      </c>
      <c r="D44" s="36" t="s">
        <v>92</v>
      </c>
      <c r="E44" s="32" t="s">
        <v>84</v>
      </c>
      <c r="F44" s="33"/>
      <c r="G44" s="34"/>
      <c r="H44" s="34">
        <v>0.0</v>
      </c>
      <c r="I44" s="35">
        <v>0.0</v>
      </c>
      <c r="J44" s="20"/>
      <c r="K44" s="20" t="str">
        <f t="shared" si="1"/>
        <v>硬貨,SSW22,b7,0,0 #(bit7)０固定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31">
        <v>29.0</v>
      </c>
      <c r="D45" s="37" t="s">
        <v>104</v>
      </c>
      <c r="E45" s="37"/>
      <c r="F45" s="37"/>
      <c r="G45" s="38"/>
      <c r="H45" s="39"/>
      <c r="I45" s="35"/>
      <c r="J45" s="20"/>
      <c r="K45" s="20" t="str">
        <f t="shared" si="1"/>
        <v>#硬貨,SSW29,回収処理内容の設定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40">
        <f t="shared" ref="C46:C53" si="5">C45</f>
        <v>29</v>
      </c>
      <c r="D46" s="31" t="s">
        <v>79</v>
      </c>
      <c r="E46" s="32" t="s">
        <v>105</v>
      </c>
      <c r="F46" s="33" t="s">
        <v>101</v>
      </c>
      <c r="G46" s="34" t="s">
        <v>82</v>
      </c>
      <c r="H46" s="34">
        <v>1.0</v>
      </c>
      <c r="I46" s="35">
        <v>1.0</v>
      </c>
      <c r="J46" s="20"/>
      <c r="K46" s="20" t="str">
        <f t="shared" si="1"/>
        <v>硬貨,SSW29,b0,1,1 #(bit0)全回収 有効／無効設定  《0:無効、1:有効》   (設定範囲：0,1)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40">
        <f t="shared" si="5"/>
        <v>29</v>
      </c>
      <c r="D47" s="31" t="s">
        <v>83</v>
      </c>
      <c r="E47" s="32" t="s">
        <v>93</v>
      </c>
      <c r="F47" s="33"/>
      <c r="G47" s="34"/>
      <c r="H47" s="34">
        <v>1.0</v>
      </c>
      <c r="I47" s="35">
        <v>1.0</v>
      </c>
      <c r="J47" s="20"/>
      <c r="K47" s="20" t="str">
        <f t="shared" si="1"/>
        <v>硬貨,SSW29,b1,1,1 #(bit1)１固定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40">
        <f t="shared" si="5"/>
        <v>29</v>
      </c>
      <c r="D48" s="31" t="s">
        <v>85</v>
      </c>
      <c r="E48" s="32" t="s">
        <v>106</v>
      </c>
      <c r="F48" s="33" t="s">
        <v>107</v>
      </c>
      <c r="G48" s="34" t="s">
        <v>82</v>
      </c>
      <c r="H48" s="34">
        <v>0.0</v>
      </c>
      <c r="I48" s="35">
        <v>0.0</v>
      </c>
      <c r="J48" s="20"/>
      <c r="K48" s="20" t="str">
        <f t="shared" si="1"/>
        <v>硬貨,SSW29,b2,0,0 #(bit2)回収選択画面のデフォルト選択回収指示  《0:全回収、1:残置回収》   (設定範囲：0,1)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40">
        <f t="shared" si="5"/>
        <v>29</v>
      </c>
      <c r="D49" s="31" t="s">
        <v>86</v>
      </c>
      <c r="E49" s="32" t="s">
        <v>108</v>
      </c>
      <c r="F49" s="33" t="s">
        <v>109</v>
      </c>
      <c r="G49" s="34" t="s">
        <v>82</v>
      </c>
      <c r="H49" s="34">
        <v>0.0</v>
      </c>
      <c r="I49" s="35">
        <v>0.0</v>
      </c>
      <c r="J49" s="20"/>
      <c r="K49" s="20" t="str">
        <f t="shared" si="1"/>
        <v>硬貨,SSW29,b3,0,0 #(bit3)残置設定  《0:金額残置、1:枚数残置》   (設定範囲：0,1)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40">
        <f t="shared" si="5"/>
        <v>29</v>
      </c>
      <c r="D50" s="31" t="s">
        <v>87</v>
      </c>
      <c r="E50" s="41" t="s">
        <v>110</v>
      </c>
      <c r="F50" s="33" t="s">
        <v>101</v>
      </c>
      <c r="G50" s="34" t="s">
        <v>82</v>
      </c>
      <c r="H50" s="34">
        <v>1.0</v>
      </c>
      <c r="I50" s="42">
        <v>0.0</v>
      </c>
      <c r="J50" s="20"/>
      <c r="K50" s="20" t="str">
        <f t="shared" si="1"/>
        <v>硬貨,SSW29,b4,1,0 #(bit4)在高異常発生の際、残置回収の有効／無効設定  《0:無効、1:有効》   (設定範囲：0,1)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40">
        <f t="shared" si="5"/>
        <v>29</v>
      </c>
      <c r="D51" s="31" t="s">
        <v>88</v>
      </c>
      <c r="E51" s="32" t="s">
        <v>111</v>
      </c>
      <c r="F51" s="33" t="s">
        <v>81</v>
      </c>
      <c r="G51" s="34" t="s">
        <v>82</v>
      </c>
      <c r="H51" s="34">
        <v>0.0</v>
      </c>
      <c r="I51" s="42">
        <v>1.0</v>
      </c>
      <c r="J51" s="20"/>
      <c r="K51" s="20" t="str">
        <f t="shared" si="1"/>
        <v>硬貨,SSW29,b5,0,1 #(bit5)残置回収 回収動作 有効／無効設定  《0:有効、1:無効》   (設定範囲：0,1)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40">
        <f t="shared" si="5"/>
        <v>29</v>
      </c>
      <c r="D52" s="31" t="s">
        <v>91</v>
      </c>
      <c r="E52" s="32" t="s">
        <v>112</v>
      </c>
      <c r="F52" s="33" t="s">
        <v>81</v>
      </c>
      <c r="G52" s="34" t="s">
        <v>82</v>
      </c>
      <c r="H52" s="34">
        <v>0.0</v>
      </c>
      <c r="I52" s="42">
        <v>1.0</v>
      </c>
      <c r="J52" s="20"/>
      <c r="K52" s="20" t="str">
        <f t="shared" si="1"/>
        <v>硬貨,SSW29,b6,0,1 #(bit6)【回収】ボタン  《0:有効、1:無効》   (設定範囲：0,1)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40">
        <f t="shared" si="5"/>
        <v>29</v>
      </c>
      <c r="D53" s="36" t="s">
        <v>92</v>
      </c>
      <c r="E53" s="32" t="s">
        <v>113</v>
      </c>
      <c r="F53" s="33" t="s">
        <v>81</v>
      </c>
      <c r="G53" s="34" t="s">
        <v>82</v>
      </c>
      <c r="H53" s="34">
        <v>0.0</v>
      </c>
      <c r="I53" s="42">
        <v>1.0</v>
      </c>
      <c r="J53" s="20"/>
      <c r="K53" s="20" t="str">
        <f t="shared" si="1"/>
        <v>硬貨,SSW29,b7,0,1 #(bit7)残置回収  《0:有効、1:無効》   (設定範囲：0,1)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36">
        <v>30.0</v>
      </c>
      <c r="D54" s="32" t="s">
        <v>114</v>
      </c>
      <c r="E54" s="32"/>
      <c r="F54" s="33"/>
      <c r="G54" s="34" t="s">
        <v>115</v>
      </c>
      <c r="H54" s="34">
        <v>50.0</v>
      </c>
      <c r="I54" s="42">
        <v>0.0</v>
      </c>
      <c r="J54" s="20"/>
      <c r="K54" s="20" t="str">
        <f t="shared" si="1"/>
        <v>硬貨,SSW30,b0,50,0 #５００円残置枚数設定 (設定範囲：0 ～ 105)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36">
        <v>31.0</v>
      </c>
      <c r="D55" s="32" t="s">
        <v>116</v>
      </c>
      <c r="E55" s="32"/>
      <c r="F55" s="33"/>
      <c r="G55" s="34" t="s">
        <v>117</v>
      </c>
      <c r="H55" s="34">
        <v>50.0</v>
      </c>
      <c r="I55" s="42">
        <v>0.0</v>
      </c>
      <c r="J55" s="20"/>
      <c r="K55" s="20" t="str">
        <f t="shared" si="1"/>
        <v>硬貨,SSW31,b0,50,0 #１００円残置枚数設定 (設定範囲：0 ～ 160)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36">
        <v>32.0</v>
      </c>
      <c r="D56" s="32" t="s">
        <v>118</v>
      </c>
      <c r="E56" s="32"/>
      <c r="F56" s="33"/>
      <c r="G56" s="34" t="s">
        <v>119</v>
      </c>
      <c r="H56" s="34">
        <v>50.0</v>
      </c>
      <c r="I56" s="42">
        <v>0.0</v>
      </c>
      <c r="J56" s="20"/>
      <c r="K56" s="20" t="str">
        <f t="shared" si="1"/>
        <v>硬貨,SSW32,b0,50,0 #５０円残置枚数設定 (設定範囲：0 ～ 120)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36">
        <v>33.0</v>
      </c>
      <c r="D57" s="32" t="s">
        <v>120</v>
      </c>
      <c r="E57" s="32"/>
      <c r="F57" s="33"/>
      <c r="G57" s="34" t="s">
        <v>117</v>
      </c>
      <c r="H57" s="34">
        <v>50.0</v>
      </c>
      <c r="I57" s="42">
        <v>0.0</v>
      </c>
      <c r="J57" s="20"/>
      <c r="K57" s="20" t="str">
        <f t="shared" si="1"/>
        <v>硬貨,SSW33,b0,50,0 #１０円残置枚数設定 (設定範囲：0 ～ 160)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36">
        <v>34.0</v>
      </c>
      <c r="D58" s="32" t="s">
        <v>121</v>
      </c>
      <c r="E58" s="32"/>
      <c r="F58" s="33"/>
      <c r="G58" s="34" t="s">
        <v>119</v>
      </c>
      <c r="H58" s="34">
        <v>50.0</v>
      </c>
      <c r="I58" s="42">
        <v>0.0</v>
      </c>
      <c r="J58" s="20"/>
      <c r="K58" s="20" t="str">
        <f t="shared" si="1"/>
        <v>硬貨,SSW34,b0,50,0 #５円残置枚数設定 (設定範囲：0 ～ 120)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36">
        <v>35.0</v>
      </c>
      <c r="D59" s="32" t="s">
        <v>122</v>
      </c>
      <c r="E59" s="32"/>
      <c r="F59" s="33"/>
      <c r="G59" s="34" t="s">
        <v>117</v>
      </c>
      <c r="H59" s="34">
        <v>50.0</v>
      </c>
      <c r="I59" s="42">
        <v>0.0</v>
      </c>
      <c r="J59" s="20"/>
      <c r="K59" s="20" t="str">
        <f t="shared" si="1"/>
        <v>硬貨,SSW35,b0,50,0 #１円残置枚数設定 (設定範囲：0 ～ 160)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31">
        <v>44.0</v>
      </c>
      <c r="D60" s="37" t="s">
        <v>123</v>
      </c>
      <c r="E60" s="37"/>
      <c r="F60" s="37"/>
      <c r="G60" s="38"/>
      <c r="H60" s="39"/>
      <c r="I60" s="35"/>
      <c r="J60" s="20"/>
      <c r="K60" s="20" t="str">
        <f t="shared" si="1"/>
        <v>#硬貨,SSW44,両替機能の設定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40">
        <f t="shared" ref="C61:C68" si="6">C60</f>
        <v>44</v>
      </c>
      <c r="D61" s="31" t="s">
        <v>79</v>
      </c>
      <c r="E61" s="32" t="s">
        <v>124</v>
      </c>
      <c r="F61" s="33" t="s">
        <v>101</v>
      </c>
      <c r="G61" s="34" t="s">
        <v>82</v>
      </c>
      <c r="H61" s="34">
        <v>1.0</v>
      </c>
      <c r="I61" s="35">
        <v>0.0</v>
      </c>
      <c r="J61" s="20"/>
      <c r="K61" s="20" t="str">
        <f t="shared" si="1"/>
        <v>硬貨,SSW44,b0,1,0 #(bit0)【両替】ボタン  《0:無効、1:有効》   (設定範囲：0,1)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40">
        <f t="shared" si="6"/>
        <v>44</v>
      </c>
      <c r="D62" s="31" t="s">
        <v>83</v>
      </c>
      <c r="E62" s="32" t="s">
        <v>93</v>
      </c>
      <c r="F62" s="33"/>
      <c r="G62" s="34"/>
      <c r="H62" s="34">
        <v>1.0</v>
      </c>
      <c r="I62" s="35">
        <v>1.0</v>
      </c>
      <c r="J62" s="20"/>
      <c r="K62" s="20" t="str">
        <f t="shared" si="1"/>
        <v>硬貨,SSW44,b1,1,1 #(bit1)１固定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40">
        <f t="shared" si="6"/>
        <v>44</v>
      </c>
      <c r="D63" s="31" t="s">
        <v>85</v>
      </c>
      <c r="E63" s="32" t="s">
        <v>84</v>
      </c>
      <c r="F63" s="33"/>
      <c r="G63" s="34"/>
      <c r="H63" s="34">
        <v>0.0</v>
      </c>
      <c r="I63" s="35">
        <v>0.0</v>
      </c>
      <c r="J63" s="20"/>
      <c r="K63" s="20" t="str">
        <f t="shared" si="1"/>
        <v>硬貨,SSW44,b2,0,0 #(bit2)０固定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40">
        <f t="shared" si="6"/>
        <v>44</v>
      </c>
      <c r="D64" s="31" t="s">
        <v>86</v>
      </c>
      <c r="E64" s="32" t="s">
        <v>84</v>
      </c>
      <c r="F64" s="33"/>
      <c r="G64" s="34"/>
      <c r="H64" s="34">
        <v>0.0</v>
      </c>
      <c r="I64" s="35">
        <v>0.0</v>
      </c>
      <c r="J64" s="20"/>
      <c r="K64" s="20" t="str">
        <f t="shared" si="1"/>
        <v>硬貨,SSW44,b3,0,0 #(bit3)０固定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40">
        <f t="shared" si="6"/>
        <v>44</v>
      </c>
      <c r="D65" s="31" t="s">
        <v>87</v>
      </c>
      <c r="E65" s="32" t="s">
        <v>84</v>
      </c>
      <c r="F65" s="33"/>
      <c r="G65" s="34"/>
      <c r="H65" s="34">
        <v>0.0</v>
      </c>
      <c r="I65" s="35">
        <v>0.0</v>
      </c>
      <c r="J65" s="20"/>
      <c r="K65" s="20" t="str">
        <f t="shared" si="1"/>
        <v>硬貨,SSW44,b4,0,0 #(bit4)０固定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40">
        <f t="shared" si="6"/>
        <v>44</v>
      </c>
      <c r="D66" s="31" t="s">
        <v>88</v>
      </c>
      <c r="E66" s="32" t="s">
        <v>84</v>
      </c>
      <c r="F66" s="33"/>
      <c r="G66" s="34"/>
      <c r="H66" s="34">
        <v>0.0</v>
      </c>
      <c r="I66" s="35">
        <v>0.0</v>
      </c>
      <c r="J66" s="20"/>
      <c r="K66" s="20" t="str">
        <f t="shared" si="1"/>
        <v>硬貨,SSW44,b5,0,0 #(bit5)０固定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40">
        <f t="shared" si="6"/>
        <v>44</v>
      </c>
      <c r="D67" s="31" t="s">
        <v>91</v>
      </c>
      <c r="E67" s="32" t="s">
        <v>84</v>
      </c>
      <c r="F67" s="33"/>
      <c r="G67" s="34"/>
      <c r="H67" s="34">
        <v>0.0</v>
      </c>
      <c r="I67" s="35">
        <v>0.0</v>
      </c>
      <c r="J67" s="20"/>
      <c r="K67" s="20" t="str">
        <f t="shared" si="1"/>
        <v>硬貨,SSW44,b6,0,0 #(bit6)０固定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40">
        <f t="shared" si="6"/>
        <v>44</v>
      </c>
      <c r="D68" s="36" t="s">
        <v>92</v>
      </c>
      <c r="E68" s="32" t="s">
        <v>84</v>
      </c>
      <c r="F68" s="33"/>
      <c r="G68" s="34"/>
      <c r="H68" s="34">
        <v>0.0</v>
      </c>
      <c r="I68" s="35">
        <v>0.0</v>
      </c>
      <c r="J68" s="20"/>
      <c r="K68" s="20" t="str">
        <f t="shared" si="1"/>
        <v>硬貨,SSW44,b7,0,0 #(bit7)０固定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31">
        <v>54.0</v>
      </c>
      <c r="D69" s="37" t="s">
        <v>125</v>
      </c>
      <c r="E69" s="37"/>
      <c r="F69" s="37"/>
      <c r="G69" s="38"/>
      <c r="H69" s="39"/>
      <c r="I69" s="35"/>
      <c r="J69" s="20"/>
      <c r="K69" s="20" t="str">
        <f t="shared" si="1"/>
        <v>#硬貨,SSW54,装置設定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40">
        <f t="shared" ref="C70:C77" si="7">C69</f>
        <v>54</v>
      </c>
      <c r="D70" s="31" t="s">
        <v>79</v>
      </c>
      <c r="E70" s="32" t="s">
        <v>84</v>
      </c>
      <c r="F70" s="33"/>
      <c r="G70" s="34"/>
      <c r="H70" s="34">
        <v>0.0</v>
      </c>
      <c r="I70" s="35">
        <v>0.0</v>
      </c>
      <c r="J70" s="20"/>
      <c r="K70" s="20" t="str">
        <f t="shared" si="1"/>
        <v>硬貨,SSW54,b0,0,0 #(bit0)０固定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40">
        <f t="shared" si="7"/>
        <v>54</v>
      </c>
      <c r="D71" s="31" t="s">
        <v>83</v>
      </c>
      <c r="E71" s="32" t="s">
        <v>125</v>
      </c>
      <c r="F71" s="33" t="s">
        <v>126</v>
      </c>
      <c r="G71" s="34" t="s">
        <v>82</v>
      </c>
      <c r="H71" s="34">
        <v>0.0</v>
      </c>
      <c r="I71" s="42">
        <v>0.0</v>
      </c>
      <c r="J71" s="20"/>
      <c r="K71" s="20" t="str">
        <f t="shared" si="1"/>
        <v>硬貨,SSW54,b1,0,0 #(bit1)装置設定  《0:つり銭機／預かり金計数、1:現金管理機》   (設定範囲：0,1)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40">
        <f t="shared" si="7"/>
        <v>54</v>
      </c>
      <c r="D72" s="31" t="s">
        <v>85</v>
      </c>
      <c r="E72" s="32" t="s">
        <v>84</v>
      </c>
      <c r="F72" s="33"/>
      <c r="G72" s="34"/>
      <c r="H72" s="34">
        <v>0.0</v>
      </c>
      <c r="I72" s="35">
        <v>0.0</v>
      </c>
      <c r="J72" s="20"/>
      <c r="K72" s="20" t="str">
        <f t="shared" si="1"/>
        <v>硬貨,SSW54,b2,0,0 #(bit2)０固定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40">
        <f t="shared" si="7"/>
        <v>54</v>
      </c>
      <c r="D73" s="31" t="s">
        <v>86</v>
      </c>
      <c r="E73" s="32" t="s">
        <v>127</v>
      </c>
      <c r="F73" s="33"/>
      <c r="G73" s="34"/>
      <c r="H73" s="34">
        <v>0.0</v>
      </c>
      <c r="I73" s="35">
        <v>0.0</v>
      </c>
      <c r="J73" s="20"/>
      <c r="K73" s="20" t="str">
        <f t="shared" si="1"/>
        <v>硬貨,SSW54,b3,0,0 #(bit3)デバッグ用設定 (０固定)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40">
        <f t="shared" si="7"/>
        <v>54</v>
      </c>
      <c r="D74" s="31" t="s">
        <v>87</v>
      </c>
      <c r="E74" s="32" t="s">
        <v>84</v>
      </c>
      <c r="F74" s="33"/>
      <c r="G74" s="34"/>
      <c r="H74" s="34">
        <v>0.0</v>
      </c>
      <c r="I74" s="35">
        <v>0.0</v>
      </c>
      <c r="J74" s="20"/>
      <c r="K74" s="20" t="str">
        <f t="shared" si="1"/>
        <v>硬貨,SSW54,b4,0,0 #(bit4)０固定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40">
        <f t="shared" si="7"/>
        <v>54</v>
      </c>
      <c r="D75" s="31" t="s">
        <v>88</v>
      </c>
      <c r="E75" s="32" t="s">
        <v>84</v>
      </c>
      <c r="F75" s="33"/>
      <c r="G75" s="34"/>
      <c r="H75" s="34">
        <v>0.0</v>
      </c>
      <c r="I75" s="35">
        <v>0.0</v>
      </c>
      <c r="J75" s="20"/>
      <c r="K75" s="20" t="str">
        <f t="shared" si="1"/>
        <v>硬貨,SSW54,b5,0,0 #(bit5)０固定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40">
        <f t="shared" si="7"/>
        <v>54</v>
      </c>
      <c r="D76" s="31" t="s">
        <v>91</v>
      </c>
      <c r="E76" s="32" t="s">
        <v>128</v>
      </c>
      <c r="F76" s="33" t="s">
        <v>81</v>
      </c>
      <c r="G76" s="34" t="s">
        <v>82</v>
      </c>
      <c r="H76" s="34">
        <v>0.0</v>
      </c>
      <c r="I76" s="35">
        <v>0.0</v>
      </c>
      <c r="J76" s="20"/>
      <c r="K76" s="20" t="str">
        <f t="shared" si="1"/>
        <v>硬貨,SSW54,b6,0,0 #(bit6)抜き取り検知機能  《0:有効、1:無効》   (設定範囲：0,1)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40">
        <f t="shared" si="7"/>
        <v>54</v>
      </c>
      <c r="D77" s="36" t="s">
        <v>92</v>
      </c>
      <c r="E77" s="32" t="s">
        <v>84</v>
      </c>
      <c r="F77" s="33"/>
      <c r="G77" s="34"/>
      <c r="H77" s="34">
        <v>0.0</v>
      </c>
      <c r="I77" s="35">
        <v>0.0</v>
      </c>
      <c r="J77" s="20"/>
      <c r="K77" s="20" t="str">
        <f t="shared" si="1"/>
        <v>硬貨,SSW54,b7,0,0 #(bit7)０固定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31">
        <v>55.0</v>
      </c>
      <c r="D78" s="37" t="s">
        <v>129</v>
      </c>
      <c r="E78" s="37"/>
      <c r="F78" s="37"/>
      <c r="G78" s="38"/>
      <c r="H78" s="39"/>
      <c r="I78" s="35"/>
      <c r="J78" s="20"/>
      <c r="K78" s="20" t="str">
        <f t="shared" si="1"/>
        <v>#硬貨,SSW55,預かり金計数モード設定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40">
        <f t="shared" ref="C79:C86" si="8">C78</f>
        <v>55</v>
      </c>
      <c r="D79" s="31" t="s">
        <v>79</v>
      </c>
      <c r="E79" s="32" t="s">
        <v>130</v>
      </c>
      <c r="F79" s="33" t="s">
        <v>131</v>
      </c>
      <c r="G79" s="34" t="s">
        <v>82</v>
      </c>
      <c r="H79" s="34">
        <v>1.0</v>
      </c>
      <c r="I79" s="35">
        <v>0.0</v>
      </c>
      <c r="J79" s="20"/>
      <c r="K79" s="20" t="str">
        <f t="shared" si="1"/>
        <v>硬貨,SSW55,b0,1,0 #(bit0)モード設定  《0:預かり金計数モード、1:つり銭機モード》   (設定範囲：0,1)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40">
        <f t="shared" si="8"/>
        <v>55</v>
      </c>
      <c r="D80" s="31" t="s">
        <v>83</v>
      </c>
      <c r="E80" s="32" t="s">
        <v>84</v>
      </c>
      <c r="F80" s="33"/>
      <c r="G80" s="34"/>
      <c r="H80" s="34">
        <v>0.0</v>
      </c>
      <c r="I80" s="35">
        <v>0.0</v>
      </c>
      <c r="J80" s="20"/>
      <c r="K80" s="20" t="str">
        <f t="shared" si="1"/>
        <v>硬貨,SSW55,b1,0,0 #(bit1)０固定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40">
        <f t="shared" si="8"/>
        <v>55</v>
      </c>
      <c r="D81" s="31" t="s">
        <v>85</v>
      </c>
      <c r="E81" s="32" t="s">
        <v>84</v>
      </c>
      <c r="F81" s="33"/>
      <c r="G81" s="34"/>
      <c r="H81" s="34">
        <v>0.0</v>
      </c>
      <c r="I81" s="35">
        <v>0.0</v>
      </c>
      <c r="J81" s="20"/>
      <c r="K81" s="20" t="str">
        <f t="shared" si="1"/>
        <v>硬貨,SSW55,b2,0,0 #(bit2)０固定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40">
        <f t="shared" si="8"/>
        <v>55</v>
      </c>
      <c r="D82" s="31" t="s">
        <v>86</v>
      </c>
      <c r="E82" s="32" t="s">
        <v>84</v>
      </c>
      <c r="F82" s="33"/>
      <c r="G82" s="34"/>
      <c r="H82" s="34">
        <v>0.0</v>
      </c>
      <c r="I82" s="35">
        <v>0.0</v>
      </c>
      <c r="J82" s="20"/>
      <c r="K82" s="20" t="str">
        <f t="shared" si="1"/>
        <v>硬貨,SSW55,b3,0,0 #(bit3)０固定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40">
        <f t="shared" si="8"/>
        <v>55</v>
      </c>
      <c r="D83" s="31" t="s">
        <v>87</v>
      </c>
      <c r="E83" s="32" t="s">
        <v>84</v>
      </c>
      <c r="F83" s="33"/>
      <c r="G83" s="34"/>
      <c r="H83" s="34">
        <v>0.0</v>
      </c>
      <c r="I83" s="35">
        <v>0.0</v>
      </c>
      <c r="J83" s="20"/>
      <c r="K83" s="20" t="str">
        <f t="shared" si="1"/>
        <v>硬貨,SSW55,b4,0,0 #(bit4)０固定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40">
        <f t="shared" si="8"/>
        <v>55</v>
      </c>
      <c r="D84" s="31" t="s">
        <v>88</v>
      </c>
      <c r="E84" s="32" t="s">
        <v>84</v>
      </c>
      <c r="F84" s="33"/>
      <c r="G84" s="34"/>
      <c r="H84" s="34">
        <v>0.0</v>
      </c>
      <c r="I84" s="35">
        <v>0.0</v>
      </c>
      <c r="J84" s="20"/>
      <c r="K84" s="20" t="str">
        <f t="shared" si="1"/>
        <v>硬貨,SSW55,b5,0,0 #(bit5)０固定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40">
        <f t="shared" si="8"/>
        <v>55</v>
      </c>
      <c r="D85" s="31" t="s">
        <v>91</v>
      </c>
      <c r="E85" s="32" t="s">
        <v>84</v>
      </c>
      <c r="F85" s="33"/>
      <c r="G85" s="34"/>
      <c r="H85" s="34">
        <v>0.0</v>
      </c>
      <c r="I85" s="35">
        <v>0.0</v>
      </c>
      <c r="J85" s="20"/>
      <c r="K85" s="20" t="str">
        <f t="shared" si="1"/>
        <v>硬貨,SSW55,b6,0,0 #(bit6)０固定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40">
        <f t="shared" si="8"/>
        <v>55</v>
      </c>
      <c r="D86" s="36" t="s">
        <v>92</v>
      </c>
      <c r="E86" s="32" t="s">
        <v>84</v>
      </c>
      <c r="F86" s="33"/>
      <c r="G86" s="34"/>
      <c r="H86" s="34">
        <v>0.0</v>
      </c>
      <c r="I86" s="35">
        <v>0.0</v>
      </c>
      <c r="J86" s="20"/>
      <c r="K86" s="20" t="str">
        <f t="shared" si="1"/>
        <v>硬貨,SSW55,b7,0,0 #(bit7)０固定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36">
        <v>61.0</v>
      </c>
      <c r="D87" s="32" t="s">
        <v>132</v>
      </c>
      <c r="E87" s="32"/>
      <c r="F87" s="33"/>
      <c r="G87" s="34" t="s">
        <v>115</v>
      </c>
      <c r="H87" s="34">
        <v>10.0</v>
      </c>
      <c r="I87" s="42">
        <v>0.0</v>
      </c>
      <c r="J87" s="20"/>
      <c r="K87" s="20" t="str">
        <f t="shared" si="1"/>
        <v>硬貨,SSW61,b0,10,0 #５００円収納庫残置基準値設定 (設定範囲：0 ～ 105)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36">
        <v>62.0</v>
      </c>
      <c r="D88" s="32" t="s">
        <v>133</v>
      </c>
      <c r="E88" s="32"/>
      <c r="F88" s="33"/>
      <c r="G88" s="34" t="s">
        <v>117</v>
      </c>
      <c r="H88" s="34">
        <v>50.0</v>
      </c>
      <c r="I88" s="42">
        <v>0.0</v>
      </c>
      <c r="J88" s="20"/>
      <c r="K88" s="20" t="str">
        <f t="shared" si="1"/>
        <v>硬貨,SSW62,b0,50,0 #１００円収納庫残置基準値設定 (設定範囲：0 ～ 160)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36">
        <v>63.0</v>
      </c>
      <c r="D89" s="32" t="s">
        <v>134</v>
      </c>
      <c r="E89" s="32"/>
      <c r="F89" s="33"/>
      <c r="G89" s="34" t="s">
        <v>119</v>
      </c>
      <c r="H89" s="34">
        <v>20.0</v>
      </c>
      <c r="I89" s="42">
        <v>0.0</v>
      </c>
      <c r="J89" s="20"/>
      <c r="K89" s="20" t="str">
        <f t="shared" si="1"/>
        <v>硬貨,SSW63,b0,20,0 #５０円収納庫残置基準値設定 (設定範囲：0 ～ 120)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36">
        <v>64.0</v>
      </c>
      <c r="D90" s="32" t="s">
        <v>135</v>
      </c>
      <c r="E90" s="32"/>
      <c r="F90" s="33"/>
      <c r="G90" s="34" t="s">
        <v>117</v>
      </c>
      <c r="H90" s="34">
        <v>50.0</v>
      </c>
      <c r="I90" s="42">
        <v>0.0</v>
      </c>
      <c r="J90" s="20"/>
      <c r="K90" s="20" t="str">
        <f t="shared" si="1"/>
        <v>硬貨,SSW64,b0,50,0 #１０円収納庫残置基準値設定 (設定範囲：0 ～ 160)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36">
        <v>65.0</v>
      </c>
      <c r="D91" s="32" t="s">
        <v>136</v>
      </c>
      <c r="E91" s="32"/>
      <c r="F91" s="33"/>
      <c r="G91" s="34" t="s">
        <v>119</v>
      </c>
      <c r="H91" s="34">
        <v>20.0</v>
      </c>
      <c r="I91" s="42">
        <v>0.0</v>
      </c>
      <c r="J91" s="20"/>
      <c r="K91" s="20" t="str">
        <f t="shared" si="1"/>
        <v>硬貨,SSW65,b0,20,0 #５円収納庫残置基準値設定 (設定範囲：0 ～ 120)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36">
        <v>66.0</v>
      </c>
      <c r="D92" s="32" t="s">
        <v>137</v>
      </c>
      <c r="E92" s="32"/>
      <c r="F92" s="33"/>
      <c r="G92" s="34" t="s">
        <v>117</v>
      </c>
      <c r="H92" s="34">
        <v>50.0</v>
      </c>
      <c r="I92" s="42">
        <v>0.0</v>
      </c>
      <c r="J92" s="20"/>
      <c r="K92" s="20" t="str">
        <f t="shared" si="1"/>
        <v>硬貨,SSW66,b0,50,0 #１円収納庫残置基準値設定 (設定範囲：0 ～ 160)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31">
        <v>101.0</v>
      </c>
      <c r="D93" s="37" t="s">
        <v>138</v>
      </c>
      <c r="E93" s="37"/>
      <c r="F93" s="37"/>
      <c r="G93" s="38"/>
      <c r="H93" s="39"/>
      <c r="I93" s="35"/>
      <c r="J93" s="20"/>
      <c r="K93" s="20" t="str">
        <f t="shared" si="1"/>
        <v>#硬貨,SSW101,表示機能設定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40">
        <f t="shared" ref="C94:C101" si="9">C93</f>
        <v>101</v>
      </c>
      <c r="D94" s="31" t="s">
        <v>79</v>
      </c>
      <c r="E94" s="32" t="s">
        <v>139</v>
      </c>
      <c r="F94" s="33" t="s">
        <v>140</v>
      </c>
      <c r="G94" s="34" t="s">
        <v>82</v>
      </c>
      <c r="H94" s="34">
        <v>0.0</v>
      </c>
      <c r="I94" s="35">
        <v>0.0</v>
      </c>
      <c r="J94" s="20"/>
      <c r="K94" s="20" t="str">
        <f t="shared" si="1"/>
        <v>硬貨,SSW101,b0,0,0 #(bit0)つり銭機モードの補充画面  《0:金額のみ、1:明細あり》   (設定範囲：0,1)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40">
        <f t="shared" si="9"/>
        <v>101</v>
      </c>
      <c r="D95" s="31" t="s">
        <v>83</v>
      </c>
      <c r="E95" s="32" t="s">
        <v>141</v>
      </c>
      <c r="F95" s="33" t="s">
        <v>142</v>
      </c>
      <c r="G95" s="34" t="s">
        <v>82</v>
      </c>
      <c r="H95" s="34">
        <v>0.0</v>
      </c>
      <c r="I95" s="42">
        <v>1.0</v>
      </c>
      <c r="J95" s="20"/>
      <c r="K95" s="20" t="str">
        <f t="shared" si="1"/>
        <v>硬貨,SSW101,b1,0,1 #(bit1)預かり金計数画面  《0:出金連動、1:預かりのみ》   (設定範囲：0,1)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40">
        <f t="shared" si="9"/>
        <v>101</v>
      </c>
      <c r="D96" s="31" t="s">
        <v>85</v>
      </c>
      <c r="E96" s="32" t="s">
        <v>143</v>
      </c>
      <c r="F96" s="33" t="s">
        <v>81</v>
      </c>
      <c r="G96" s="34" t="s">
        <v>82</v>
      </c>
      <c r="H96" s="34">
        <v>0.0</v>
      </c>
      <c r="I96" s="35">
        <v>1.0</v>
      </c>
      <c r="J96" s="20"/>
      <c r="K96" s="20" t="str">
        <f t="shared" si="1"/>
        <v>硬貨,SSW101,b2,0,1 #(bit2)交代画面機能  《0:有効、1:無効》   (設定範囲：0,1)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40">
        <f t="shared" si="9"/>
        <v>101</v>
      </c>
      <c r="D97" s="31" t="s">
        <v>86</v>
      </c>
      <c r="E97" s="32" t="s">
        <v>144</v>
      </c>
      <c r="F97" s="33" t="s">
        <v>145</v>
      </c>
      <c r="G97" s="34" t="s">
        <v>146</v>
      </c>
      <c r="H97" s="34">
        <v>0.0</v>
      </c>
      <c r="I97" s="35">
        <v>0.0</v>
      </c>
      <c r="J97" s="20"/>
      <c r="K97" s="20" t="str">
        <f t="shared" si="1"/>
        <v>硬貨,SSW101,b3,0,0 #(bit3)待機中画面表示  《0:ｲﾝｼﾞｹｰﾀｰ表示、1:前回処理の表示》   (設定範囲：0 ～ 2)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40">
        <f t="shared" si="9"/>
        <v>101</v>
      </c>
      <c r="D98" s="43" t="s">
        <v>87</v>
      </c>
      <c r="E98" s="44" t="s">
        <v>144</v>
      </c>
      <c r="F98" s="45" t="s">
        <v>147</v>
      </c>
      <c r="G98" s="46"/>
      <c r="H98" s="46">
        <v>0.0</v>
      </c>
      <c r="I98" s="47">
        <v>0.0</v>
      </c>
      <c r="J98" s="20"/>
      <c r="K98" s="20" t="str">
        <f t="shared" si="1"/>
        <v>硬貨,SSW101,b4,0,0 #(bit4)待機中画面表示  《2:詳細表示》  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40">
        <f t="shared" si="9"/>
        <v>101</v>
      </c>
      <c r="D99" s="31" t="s">
        <v>88</v>
      </c>
      <c r="E99" s="32" t="s">
        <v>148</v>
      </c>
      <c r="F99" s="33" t="s">
        <v>81</v>
      </c>
      <c r="G99" s="34" t="s">
        <v>82</v>
      </c>
      <c r="H99" s="34">
        <v>0.0</v>
      </c>
      <c r="I99" s="35">
        <v>1.0</v>
      </c>
      <c r="J99" s="20"/>
      <c r="K99" s="20" t="str">
        <f t="shared" si="1"/>
        <v>硬貨,SSW101,b5,0,1 #(bit5)つり銭機操作による締め機能  《0:有効、1:無効》   (設定範囲：0,1)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40">
        <f t="shared" si="9"/>
        <v>101</v>
      </c>
      <c r="D100" s="31" t="s">
        <v>91</v>
      </c>
      <c r="E100" s="32" t="s">
        <v>149</v>
      </c>
      <c r="F100" s="33" t="s">
        <v>150</v>
      </c>
      <c r="G100" s="34" t="s">
        <v>82</v>
      </c>
      <c r="H100" s="34">
        <v>0.0</v>
      </c>
      <c r="I100" s="35">
        <v>0.0</v>
      </c>
      <c r="J100" s="20"/>
      <c r="K100" s="20" t="str">
        <f t="shared" si="1"/>
        <v>硬貨,SSW101,b6,0,0 #(bit6)エンプティ状態通知不要金種の待機中画面表示  《0:表示、1:非表示》   (設定範囲：0,1)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40">
        <f t="shared" si="9"/>
        <v>101</v>
      </c>
      <c r="D101" s="36" t="s">
        <v>92</v>
      </c>
      <c r="E101" s="32" t="s">
        <v>151</v>
      </c>
      <c r="F101" s="33" t="s">
        <v>152</v>
      </c>
      <c r="G101" s="34" t="s">
        <v>82</v>
      </c>
      <c r="H101" s="34">
        <v>0.0</v>
      </c>
      <c r="I101" s="42">
        <v>1.0</v>
      </c>
      <c r="J101" s="20"/>
      <c r="K101" s="20" t="str">
        <f t="shared" si="1"/>
        <v>硬貨,SSW101,b7,0,1 #(bit7)硬貨紙幣別の収納金額表示画面  《0:非表示、1:表示》   (設定範囲：0,1)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36">
        <v>103.0</v>
      </c>
      <c r="D102" s="32" t="s">
        <v>153</v>
      </c>
      <c r="E102" s="32"/>
      <c r="F102" s="33" t="s">
        <v>154</v>
      </c>
      <c r="G102" s="34" t="s">
        <v>155</v>
      </c>
      <c r="H102" s="34">
        <v>143.0</v>
      </c>
      <c r="I102" s="42">
        <v>15.0</v>
      </c>
      <c r="J102" s="20"/>
      <c r="K102" s="20" t="str">
        <f t="shared" si="1"/>
        <v>硬貨,SSW103,b0,143,15 #省エネモード設定  《「分」で設定、bit7が 1 で有効と判定 (デフォルトは15分(0x8F))》   (設定範囲：0 ～ 255)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31">
        <v>154.0</v>
      </c>
      <c r="D103" s="37" t="s">
        <v>156</v>
      </c>
      <c r="E103" s="37"/>
      <c r="F103" s="37"/>
      <c r="G103" s="38"/>
      <c r="H103" s="39"/>
      <c r="I103" s="35"/>
      <c r="J103" s="20"/>
      <c r="K103" s="20" t="str">
        <f t="shared" si="1"/>
        <v>#硬貨,SSW154,収納庫開閉時強制在高異常通知設定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40">
        <f t="shared" ref="C104:C111" si="10">C103</f>
        <v>154</v>
      </c>
      <c r="D104" s="31" t="s">
        <v>79</v>
      </c>
      <c r="E104" s="32" t="s">
        <v>157</v>
      </c>
      <c r="F104" s="33" t="s">
        <v>101</v>
      </c>
      <c r="G104" s="34" t="s">
        <v>82</v>
      </c>
      <c r="H104" s="34">
        <v>0.0</v>
      </c>
      <c r="I104" s="35">
        <v>0.0</v>
      </c>
      <c r="J104" s="20"/>
      <c r="K104" s="20" t="str">
        <f t="shared" si="1"/>
        <v>硬貨,SSW154,b0,0,0 #(bit0)収納庫開閉時強制在高異常通知  《0:無効、1:有効》   (設定範囲：0,1)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40">
        <f t="shared" si="10"/>
        <v>154</v>
      </c>
      <c r="D105" s="31" t="s">
        <v>83</v>
      </c>
      <c r="E105" s="32" t="s">
        <v>84</v>
      </c>
      <c r="F105" s="33"/>
      <c r="G105" s="34"/>
      <c r="H105" s="34">
        <v>0.0</v>
      </c>
      <c r="I105" s="35">
        <v>0.0</v>
      </c>
      <c r="J105" s="20"/>
      <c r="K105" s="20" t="str">
        <f t="shared" si="1"/>
        <v>硬貨,SSW154,b1,0,0 #(bit1)０固定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40">
        <f t="shared" si="10"/>
        <v>154</v>
      </c>
      <c r="D106" s="31" t="s">
        <v>85</v>
      </c>
      <c r="E106" s="32" t="s">
        <v>84</v>
      </c>
      <c r="F106" s="33"/>
      <c r="G106" s="34"/>
      <c r="H106" s="34">
        <v>0.0</v>
      </c>
      <c r="I106" s="35">
        <v>0.0</v>
      </c>
      <c r="J106" s="20"/>
      <c r="K106" s="20" t="str">
        <f t="shared" si="1"/>
        <v>硬貨,SSW154,b2,0,0 #(bit2)０固定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40">
        <f t="shared" si="10"/>
        <v>154</v>
      </c>
      <c r="D107" s="31" t="s">
        <v>86</v>
      </c>
      <c r="E107" s="32" t="s">
        <v>84</v>
      </c>
      <c r="F107" s="33"/>
      <c r="G107" s="34"/>
      <c r="H107" s="34">
        <v>0.0</v>
      </c>
      <c r="I107" s="35">
        <v>0.0</v>
      </c>
      <c r="J107" s="20"/>
      <c r="K107" s="20" t="str">
        <f t="shared" si="1"/>
        <v>硬貨,SSW154,b3,0,0 #(bit3)０固定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40">
        <f t="shared" si="10"/>
        <v>154</v>
      </c>
      <c r="D108" s="31" t="s">
        <v>87</v>
      </c>
      <c r="E108" s="32" t="s">
        <v>84</v>
      </c>
      <c r="F108" s="33"/>
      <c r="G108" s="34"/>
      <c r="H108" s="34">
        <v>0.0</v>
      </c>
      <c r="I108" s="35">
        <v>0.0</v>
      </c>
      <c r="J108" s="20"/>
      <c r="K108" s="20" t="str">
        <f t="shared" si="1"/>
        <v>硬貨,SSW154,b4,0,0 #(bit4)０固定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40">
        <f t="shared" si="10"/>
        <v>154</v>
      </c>
      <c r="D109" s="31" t="s">
        <v>88</v>
      </c>
      <c r="E109" s="32" t="s">
        <v>84</v>
      </c>
      <c r="F109" s="33"/>
      <c r="G109" s="34"/>
      <c r="H109" s="34">
        <v>0.0</v>
      </c>
      <c r="I109" s="35">
        <v>0.0</v>
      </c>
      <c r="J109" s="20"/>
      <c r="K109" s="20" t="str">
        <f t="shared" si="1"/>
        <v>硬貨,SSW154,b5,0,0 #(bit5)０固定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40">
        <f t="shared" si="10"/>
        <v>154</v>
      </c>
      <c r="D110" s="31" t="s">
        <v>91</v>
      </c>
      <c r="E110" s="32" t="s">
        <v>84</v>
      </c>
      <c r="F110" s="33"/>
      <c r="G110" s="34"/>
      <c r="H110" s="34">
        <v>0.0</v>
      </c>
      <c r="I110" s="35">
        <v>0.0</v>
      </c>
      <c r="J110" s="20"/>
      <c r="K110" s="20" t="str">
        <f t="shared" si="1"/>
        <v>硬貨,SSW154,b6,0,0 #(bit6)０固定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40">
        <f t="shared" si="10"/>
        <v>154</v>
      </c>
      <c r="D111" s="36" t="s">
        <v>92</v>
      </c>
      <c r="E111" s="32" t="s">
        <v>84</v>
      </c>
      <c r="F111" s="33"/>
      <c r="G111" s="34"/>
      <c r="H111" s="34">
        <v>0.0</v>
      </c>
      <c r="I111" s="35">
        <v>0.0</v>
      </c>
      <c r="J111" s="20"/>
      <c r="K111" s="20" t="str">
        <f t="shared" si="1"/>
        <v>硬貨,SSW154,b7,0,0 #(bit7)０固定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31">
        <v>155.0</v>
      </c>
      <c r="D112" s="37" t="s">
        <v>158</v>
      </c>
      <c r="E112" s="37"/>
      <c r="F112" s="37"/>
      <c r="G112" s="38"/>
      <c r="H112" s="39"/>
      <c r="I112" s="35"/>
      <c r="J112" s="20"/>
      <c r="K112" s="20" t="str">
        <f t="shared" si="1"/>
        <v>#硬貨,SSW155,精査処理内容の設定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40">
        <f t="shared" ref="C113:C120" si="11">C112</f>
        <v>155</v>
      </c>
      <c r="D113" s="31" t="s">
        <v>79</v>
      </c>
      <c r="E113" s="32" t="s">
        <v>159</v>
      </c>
      <c r="F113" s="33" t="s">
        <v>101</v>
      </c>
      <c r="G113" s="34" t="s">
        <v>82</v>
      </c>
      <c r="H113" s="34">
        <v>0.0</v>
      </c>
      <c r="I113" s="35">
        <v>0.0</v>
      </c>
      <c r="J113" s="20"/>
      <c r="K113" s="20" t="str">
        <f t="shared" si="1"/>
        <v>硬貨,SSW155,b0,0,0 #(bit0)精査処理時の強制回収通知 有効／無効設定  《0:無効、1:有効》   (設定範囲：0,1)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40">
        <f t="shared" si="11"/>
        <v>155</v>
      </c>
      <c r="D114" s="31" t="s">
        <v>83</v>
      </c>
      <c r="E114" s="32" t="s">
        <v>84</v>
      </c>
      <c r="F114" s="33"/>
      <c r="G114" s="34"/>
      <c r="H114" s="34">
        <v>0.0</v>
      </c>
      <c r="I114" s="35">
        <v>0.0</v>
      </c>
      <c r="J114" s="20"/>
      <c r="K114" s="20" t="str">
        <f t="shared" si="1"/>
        <v>硬貨,SSW155,b1,0,0 #(bit1)０固定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40">
        <f t="shared" si="11"/>
        <v>155</v>
      </c>
      <c r="D115" s="31" t="s">
        <v>85</v>
      </c>
      <c r="E115" s="32" t="s">
        <v>84</v>
      </c>
      <c r="F115" s="33"/>
      <c r="G115" s="34"/>
      <c r="H115" s="34">
        <v>0.0</v>
      </c>
      <c r="I115" s="35">
        <v>0.0</v>
      </c>
      <c r="J115" s="20"/>
      <c r="K115" s="20" t="str">
        <f t="shared" si="1"/>
        <v>硬貨,SSW155,b2,0,0 #(bit2)０固定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40">
        <f t="shared" si="11"/>
        <v>155</v>
      </c>
      <c r="D116" s="31" t="s">
        <v>86</v>
      </c>
      <c r="E116" s="32" t="s">
        <v>84</v>
      </c>
      <c r="F116" s="33"/>
      <c r="G116" s="34"/>
      <c r="H116" s="34">
        <v>0.0</v>
      </c>
      <c r="I116" s="35">
        <v>0.0</v>
      </c>
      <c r="J116" s="20"/>
      <c r="K116" s="20" t="str">
        <f t="shared" si="1"/>
        <v>硬貨,SSW155,b3,0,0 #(bit3)０固定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40">
        <f t="shared" si="11"/>
        <v>155</v>
      </c>
      <c r="D117" s="31" t="s">
        <v>87</v>
      </c>
      <c r="E117" s="32" t="s">
        <v>84</v>
      </c>
      <c r="F117" s="33"/>
      <c r="G117" s="34"/>
      <c r="H117" s="34">
        <v>0.0</v>
      </c>
      <c r="I117" s="35">
        <v>0.0</v>
      </c>
      <c r="J117" s="20"/>
      <c r="K117" s="20" t="str">
        <f t="shared" si="1"/>
        <v>硬貨,SSW155,b4,0,0 #(bit4)０固定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40">
        <f t="shared" si="11"/>
        <v>155</v>
      </c>
      <c r="D118" s="31" t="s">
        <v>88</v>
      </c>
      <c r="E118" s="32" t="s">
        <v>84</v>
      </c>
      <c r="F118" s="33"/>
      <c r="G118" s="34"/>
      <c r="H118" s="34">
        <v>0.0</v>
      </c>
      <c r="I118" s="35">
        <v>0.0</v>
      </c>
      <c r="J118" s="20"/>
      <c r="K118" s="20" t="str">
        <f t="shared" si="1"/>
        <v>硬貨,SSW155,b5,0,0 #(bit5)０固定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40">
        <f t="shared" si="11"/>
        <v>155</v>
      </c>
      <c r="D119" s="31" t="s">
        <v>91</v>
      </c>
      <c r="E119" s="32" t="s">
        <v>84</v>
      </c>
      <c r="F119" s="33"/>
      <c r="G119" s="34"/>
      <c r="H119" s="34">
        <v>0.0</v>
      </c>
      <c r="I119" s="35">
        <v>0.0</v>
      </c>
      <c r="J119" s="20"/>
      <c r="K119" s="20" t="str">
        <f t="shared" si="1"/>
        <v>硬貨,SSW155,b6,0,0 #(bit6)０固定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40">
        <f t="shared" si="11"/>
        <v>155</v>
      </c>
      <c r="D120" s="36" t="s">
        <v>92</v>
      </c>
      <c r="E120" s="32" t="s">
        <v>84</v>
      </c>
      <c r="F120" s="33"/>
      <c r="G120" s="34"/>
      <c r="H120" s="34">
        <v>0.0</v>
      </c>
      <c r="I120" s="35">
        <v>0.0</v>
      </c>
      <c r="J120" s="20"/>
      <c r="K120" s="20" t="str">
        <f t="shared" si="1"/>
        <v>硬貨,SSW155,b7,0,0 #(bit7)０固定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48"/>
      <c r="D121" s="48"/>
      <c r="E121" s="37"/>
      <c r="F121" s="49"/>
      <c r="G121" s="48"/>
      <c r="H121" s="48"/>
      <c r="I121" s="5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H1:I1"/>
  </mergeCells>
  <printOptions/>
  <pageMargins bottom="0.5511811023622047" footer="0.0" header="0.0" left="0.31496062992125984" right="0.31496062992125984" top="0.35433070866141736"/>
  <pageSetup paperSize="9" orientation="landscape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1.43"/>
    <col customWidth="1" min="3" max="3" width="6.29"/>
    <col customWidth="1" min="4" max="4" width="6.57"/>
    <col customWidth="1" min="5" max="5" width="38.43"/>
    <col customWidth="1" min="6" max="6" width="52.86"/>
    <col customWidth="1" min="7" max="7" width="10.57"/>
    <col customWidth="1" min="8" max="11" width="9.0"/>
    <col customWidth="1" min="12" max="26" width="8.71"/>
  </cols>
  <sheetData>
    <row r="1" ht="14.25" customHeight="1">
      <c r="A1" s="20"/>
      <c r="B1" s="20"/>
      <c r="C1" s="20"/>
      <c r="D1" s="20"/>
      <c r="E1" s="20"/>
      <c r="F1" s="20"/>
      <c r="G1" s="21" t="s">
        <v>51</v>
      </c>
      <c r="H1" s="22">
        <v>42984.0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.0" customHeight="1">
      <c r="A2" s="20"/>
      <c r="B2" s="23" t="s">
        <v>160</v>
      </c>
      <c r="C2" s="24"/>
      <c r="D2" s="24"/>
      <c r="E2" s="25"/>
      <c r="F2" s="25"/>
      <c r="G2" s="25"/>
      <c r="H2" s="25"/>
      <c r="I2" s="51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20"/>
      <c r="B4" s="20"/>
      <c r="C4" s="26"/>
      <c r="D4" s="26"/>
      <c r="E4" s="26"/>
      <c r="F4" s="26"/>
      <c r="G4" s="27"/>
      <c r="H4" s="27"/>
      <c r="I4" s="2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20"/>
      <c r="B5" s="20"/>
      <c r="C5" s="27" t="s">
        <v>53</v>
      </c>
      <c r="D5" s="26" t="s">
        <v>54</v>
      </c>
      <c r="E5" s="26"/>
      <c r="F5" s="26" t="s">
        <v>55</v>
      </c>
      <c r="G5" s="27" t="s">
        <v>56</v>
      </c>
      <c r="H5" s="27" t="s">
        <v>161</v>
      </c>
      <c r="I5" s="52" t="s">
        <v>162</v>
      </c>
      <c r="J5" s="20"/>
      <c r="K5" s="20" t="s">
        <v>59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/>
      <c r="B6" s="20"/>
      <c r="C6" s="31">
        <v>1.0</v>
      </c>
      <c r="D6" s="32" t="s">
        <v>163</v>
      </c>
      <c r="E6" s="32"/>
      <c r="F6" s="33" t="s">
        <v>61</v>
      </c>
      <c r="G6" s="34" t="s">
        <v>164</v>
      </c>
      <c r="H6" s="34">
        <v>5.0</v>
      </c>
      <c r="I6" s="35">
        <v>5.0</v>
      </c>
      <c r="J6" s="20"/>
      <c r="K6" s="20" t="str">
        <f t="shared" ref="K6:K115" si="1">IF(TRIM(E6 &amp; G6)="","#" &amp; "紙幣,SSW"&amp;C6 &amp; "," &amp; D6,"紙幣,SSW"&amp;C6 &amp; ",b" &amp;  IF(MID(D6,1,4)="(bit",MID(D6,5,1),"0") &amp; "," &amp; H6 &amp; "," &amp; I6 &amp; " #" &amp; D6 &amp; E6 &amp;IF(F6="","", "  《" &amp; F6 &amp; "》  ") &amp; IF(G6&lt;&gt;""," (設定範囲：" &amp; G6 &amp; ")",""))</f>
        <v>紙幣,SSW1,b0,5,5 #５０００円収納庫ニアエンプティ枚数設定  《設定値以下ならニアエンプティ判断》   (設定範囲：0 ～ 15)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/>
      <c r="B7" s="20"/>
      <c r="C7" s="31">
        <v>2.0</v>
      </c>
      <c r="D7" s="32" t="s">
        <v>165</v>
      </c>
      <c r="E7" s="32"/>
      <c r="F7" s="33" t="s">
        <v>61</v>
      </c>
      <c r="G7" s="34" t="s">
        <v>166</v>
      </c>
      <c r="H7" s="34">
        <v>10.0</v>
      </c>
      <c r="I7" s="35">
        <v>10.0</v>
      </c>
      <c r="J7" s="20"/>
      <c r="K7" s="20" t="str">
        <f t="shared" si="1"/>
        <v>紙幣,SSW2,b0,10,10 #１０００円収納庫ニアエンプティ枚数設定  《設定値以下ならニアエンプティ判断》   (設定範囲：0 ～ 75)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/>
      <c r="B8" s="20"/>
      <c r="C8" s="31">
        <v>3.0</v>
      </c>
      <c r="D8" s="32" t="s">
        <v>167</v>
      </c>
      <c r="E8" s="32"/>
      <c r="F8" s="33" t="s">
        <v>168</v>
      </c>
      <c r="G8" s="34" t="s">
        <v>169</v>
      </c>
      <c r="H8" s="34">
        <v>180.0</v>
      </c>
      <c r="I8" s="42">
        <v>100.0</v>
      </c>
      <c r="J8" s="20"/>
      <c r="K8" s="20" t="str">
        <f t="shared" si="1"/>
        <v>紙幣,SSW3,b0,180,100 #カセット部ニアフル枚数設定  《設定値以下ならニアフル判断》   (設定範囲：0 ～ 200)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/>
      <c r="B9" s="20"/>
      <c r="C9" s="31">
        <v>4.0</v>
      </c>
      <c r="D9" s="32" t="s">
        <v>170</v>
      </c>
      <c r="E9" s="32"/>
      <c r="F9" s="33" t="s">
        <v>168</v>
      </c>
      <c r="G9" s="34" t="s">
        <v>169</v>
      </c>
      <c r="H9" s="34">
        <v>80.0</v>
      </c>
      <c r="I9" s="35">
        <v>80.0</v>
      </c>
      <c r="J9" s="20"/>
      <c r="K9" s="20" t="str">
        <f t="shared" si="1"/>
        <v>紙幣,SSW4,b0,80,80 #５０００円収納庫ニアフル枚数設定  《設定値以下ならニアフル判断》   (設定範囲：0 ～ 200)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/>
      <c r="B10" s="20"/>
      <c r="C10" s="31">
        <v>5.0</v>
      </c>
      <c r="D10" s="32" t="s">
        <v>171</v>
      </c>
      <c r="E10" s="37"/>
      <c r="F10" s="37"/>
      <c r="G10" s="38"/>
      <c r="H10" s="39"/>
      <c r="I10" s="35"/>
      <c r="J10" s="20"/>
      <c r="K10" s="20" t="str">
        <f t="shared" si="1"/>
        <v>#紙幣,SSW5,エンプティ状態通知不要金種設定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0"/>
      <c r="B11" s="20"/>
      <c r="C11" s="40">
        <f t="shared" ref="C11:C18" si="2">C10</f>
        <v>5</v>
      </c>
      <c r="D11" s="31" t="s">
        <v>79</v>
      </c>
      <c r="E11" s="32" t="s">
        <v>172</v>
      </c>
      <c r="F11" s="33" t="s">
        <v>173</v>
      </c>
      <c r="G11" s="34" t="s">
        <v>82</v>
      </c>
      <c r="H11" s="34">
        <v>0.0</v>
      </c>
      <c r="I11" s="35">
        <v>0.0</v>
      </c>
      <c r="J11" s="20"/>
      <c r="K11" s="20" t="str">
        <f t="shared" si="1"/>
        <v>紙幣,SSW5,b0,0,0 #(bit0)千円収納庫エンプティ状態通知  《0:する、1:しない》   (設定範囲：0,1)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0"/>
      <c r="B12" s="20"/>
      <c r="C12" s="40">
        <f t="shared" si="2"/>
        <v>5</v>
      </c>
      <c r="D12" s="31" t="s">
        <v>83</v>
      </c>
      <c r="E12" s="32" t="s">
        <v>174</v>
      </c>
      <c r="F12" s="33" t="s">
        <v>173</v>
      </c>
      <c r="G12" s="34" t="s">
        <v>82</v>
      </c>
      <c r="H12" s="34">
        <v>0.0</v>
      </c>
      <c r="I12" s="35">
        <v>0.0</v>
      </c>
      <c r="J12" s="20"/>
      <c r="K12" s="20" t="str">
        <f t="shared" si="1"/>
        <v>紙幣,SSW5,b1,0,0 #(bit1)２千円収納庫エンプティ状態通知  《0:する、1:しない》   (設定範囲：0,1)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0"/>
      <c r="B13" s="20"/>
      <c r="C13" s="40">
        <f t="shared" si="2"/>
        <v>5</v>
      </c>
      <c r="D13" s="31" t="s">
        <v>85</v>
      </c>
      <c r="E13" s="32" t="s">
        <v>175</v>
      </c>
      <c r="F13" s="33" t="s">
        <v>173</v>
      </c>
      <c r="G13" s="34" t="s">
        <v>82</v>
      </c>
      <c r="H13" s="34">
        <v>0.0</v>
      </c>
      <c r="I13" s="35">
        <v>0.0</v>
      </c>
      <c r="J13" s="20"/>
      <c r="K13" s="20" t="str">
        <f t="shared" si="1"/>
        <v>紙幣,SSW5,b2,0,0 #(bit2)５千円収納庫エンプティ状態通知  《0:する、1:しない》   (設定範囲：0,1)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0"/>
      <c r="B14" s="20"/>
      <c r="C14" s="40">
        <f t="shared" si="2"/>
        <v>5</v>
      </c>
      <c r="D14" s="31" t="s">
        <v>86</v>
      </c>
      <c r="E14" s="32" t="s">
        <v>176</v>
      </c>
      <c r="F14" s="33" t="s">
        <v>173</v>
      </c>
      <c r="G14" s="34" t="s">
        <v>82</v>
      </c>
      <c r="H14" s="34">
        <v>0.0</v>
      </c>
      <c r="I14" s="35">
        <v>0.0</v>
      </c>
      <c r="J14" s="20"/>
      <c r="K14" s="20" t="str">
        <f t="shared" si="1"/>
        <v>紙幣,SSW5,b3,0,0 #(bit3)万円収納庫エンプティ状態通知  《0:する、1:しない》   (設定範囲：0,1)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0"/>
      <c r="B15" s="20"/>
      <c r="C15" s="40">
        <f t="shared" si="2"/>
        <v>5</v>
      </c>
      <c r="D15" s="31" t="s">
        <v>87</v>
      </c>
      <c r="E15" s="32" t="s">
        <v>84</v>
      </c>
      <c r="F15" s="33"/>
      <c r="G15" s="34"/>
      <c r="H15" s="34">
        <v>0.0</v>
      </c>
      <c r="I15" s="35">
        <v>0.0</v>
      </c>
      <c r="J15" s="20"/>
      <c r="K15" s="20" t="str">
        <f t="shared" si="1"/>
        <v>紙幣,SSW5,b4,0,0 #(bit4)０固定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0"/>
      <c r="B16" s="20"/>
      <c r="C16" s="40">
        <f t="shared" si="2"/>
        <v>5</v>
      </c>
      <c r="D16" s="31" t="s">
        <v>88</v>
      </c>
      <c r="E16" s="32" t="s">
        <v>84</v>
      </c>
      <c r="F16" s="33"/>
      <c r="G16" s="34"/>
      <c r="H16" s="34">
        <v>0.0</v>
      </c>
      <c r="I16" s="35">
        <v>0.0</v>
      </c>
      <c r="J16" s="20"/>
      <c r="K16" s="20" t="str">
        <f t="shared" si="1"/>
        <v>紙幣,SSW5,b5,0,0 #(bit5)０固定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0"/>
      <c r="B17" s="20"/>
      <c r="C17" s="40">
        <f t="shared" si="2"/>
        <v>5</v>
      </c>
      <c r="D17" s="31" t="s">
        <v>91</v>
      </c>
      <c r="E17" s="32" t="s">
        <v>84</v>
      </c>
      <c r="F17" s="33"/>
      <c r="G17" s="34"/>
      <c r="H17" s="34">
        <v>0.0</v>
      </c>
      <c r="I17" s="35">
        <v>0.0</v>
      </c>
      <c r="J17" s="20"/>
      <c r="K17" s="20" t="str">
        <f t="shared" si="1"/>
        <v>紙幣,SSW5,b6,0,0 #(bit6)０固定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0"/>
      <c r="B18" s="20"/>
      <c r="C18" s="40">
        <f t="shared" si="2"/>
        <v>5</v>
      </c>
      <c r="D18" s="36" t="s">
        <v>92</v>
      </c>
      <c r="E18" s="32" t="s">
        <v>84</v>
      </c>
      <c r="F18" s="33"/>
      <c r="G18" s="34"/>
      <c r="H18" s="34">
        <v>0.0</v>
      </c>
      <c r="I18" s="35">
        <v>0.0</v>
      </c>
      <c r="J18" s="20"/>
      <c r="K18" s="20" t="str">
        <f t="shared" si="1"/>
        <v>紙幣,SSW5,b7,0,0 #(bit7)０固定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0"/>
      <c r="B19" s="20"/>
      <c r="C19" s="31">
        <v>7.0</v>
      </c>
      <c r="D19" s="37" t="s">
        <v>78</v>
      </c>
      <c r="E19" s="37"/>
      <c r="F19" s="37"/>
      <c r="G19" s="38"/>
      <c r="H19" s="39"/>
      <c r="I19" s="35"/>
      <c r="J19" s="20"/>
      <c r="K19" s="20" t="str">
        <f t="shared" si="1"/>
        <v>#紙幣,SSW7,補充処理内容の設定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0"/>
      <c r="B20" s="20"/>
      <c r="C20" s="40">
        <f t="shared" ref="C20:C27" si="3">C19</f>
        <v>7</v>
      </c>
      <c r="D20" s="31" t="s">
        <v>79</v>
      </c>
      <c r="E20" s="32" t="s">
        <v>177</v>
      </c>
      <c r="F20" s="33" t="s">
        <v>178</v>
      </c>
      <c r="G20" s="34" t="s">
        <v>82</v>
      </c>
      <c r="H20" s="34">
        <v>0.0</v>
      </c>
      <c r="I20" s="35">
        <v>0.0</v>
      </c>
      <c r="J20" s="20"/>
      <c r="K20" s="20" t="str">
        <f t="shared" si="1"/>
        <v>紙幣,SSW7,b0,0,0 #(bit0)つり銭機モードの補充ＲＪ紙幣の行き先設定  《0:ＲＪ部、1:払出口》   (設定範囲：0,1)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40">
        <f t="shared" si="3"/>
        <v>7</v>
      </c>
      <c r="D21" s="31" t="s">
        <v>83</v>
      </c>
      <c r="E21" s="32" t="s">
        <v>179</v>
      </c>
      <c r="F21" s="33" t="s">
        <v>180</v>
      </c>
      <c r="G21" s="34" t="s">
        <v>82</v>
      </c>
      <c r="H21" s="34">
        <v>0.0</v>
      </c>
      <c r="I21" s="35">
        <v>0.0</v>
      </c>
      <c r="J21" s="20"/>
      <c r="K21" s="20" t="str">
        <f t="shared" si="1"/>
        <v>紙幣,SSW7,b1,0,0 #(bit1)預かり金計数モードの補充ＲＪ紙幣の行き先設定  《0:払出口、1:ＲＪ部》   (設定範囲：0,1)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40">
        <f t="shared" si="3"/>
        <v>7</v>
      </c>
      <c r="D22" s="31" t="s">
        <v>85</v>
      </c>
      <c r="E22" s="32" t="s">
        <v>181</v>
      </c>
      <c r="F22" s="33" t="s">
        <v>101</v>
      </c>
      <c r="G22" s="34" t="s">
        <v>82</v>
      </c>
      <c r="H22" s="34">
        <v>0.0</v>
      </c>
      <c r="I22" s="35">
        <v>0.0</v>
      </c>
      <c r="J22" s="20"/>
      <c r="K22" s="20" t="str">
        <f t="shared" si="1"/>
        <v>紙幣,SSW7,b2,0,0 #(bit2)万円補充時の警告音  《0:無効、1:有効》   (設定範囲：0,1)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40">
        <f t="shared" si="3"/>
        <v>7</v>
      </c>
      <c r="D23" s="31" t="s">
        <v>86</v>
      </c>
      <c r="E23" s="32" t="s">
        <v>80</v>
      </c>
      <c r="F23" s="33" t="s">
        <v>81</v>
      </c>
      <c r="G23" s="34" t="s">
        <v>82</v>
      </c>
      <c r="H23" s="34">
        <v>0.0</v>
      </c>
      <c r="I23" s="35">
        <v>1.0</v>
      </c>
      <c r="J23" s="20"/>
      <c r="K23" s="20" t="str">
        <f t="shared" si="1"/>
        <v>紙幣,SSW7,b3,0,1 #(bit3)待機中【補充】押下による補充処理開始  《0:有効、1:無効》   (設定範囲：0,1)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40">
        <f t="shared" si="3"/>
        <v>7</v>
      </c>
      <c r="D24" s="31" t="s">
        <v>87</v>
      </c>
      <c r="E24" s="32" t="s">
        <v>84</v>
      </c>
      <c r="F24" s="33"/>
      <c r="G24" s="34"/>
      <c r="H24" s="34">
        <v>0.0</v>
      </c>
      <c r="I24" s="35">
        <v>0.0</v>
      </c>
      <c r="J24" s="20"/>
      <c r="K24" s="20" t="str">
        <f t="shared" si="1"/>
        <v>紙幣,SSW7,b4,0,0 #(bit4)０固定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40">
        <f t="shared" si="3"/>
        <v>7</v>
      </c>
      <c r="D25" s="31" t="s">
        <v>88</v>
      </c>
      <c r="E25" s="32" t="s">
        <v>84</v>
      </c>
      <c r="F25" s="33"/>
      <c r="G25" s="34"/>
      <c r="H25" s="34">
        <v>0.0</v>
      </c>
      <c r="I25" s="35">
        <v>0.0</v>
      </c>
      <c r="J25" s="20"/>
      <c r="K25" s="20" t="str">
        <f t="shared" si="1"/>
        <v>紙幣,SSW7,b5,0,0 #(bit5)０固定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40">
        <f t="shared" si="3"/>
        <v>7</v>
      </c>
      <c r="D26" s="31" t="s">
        <v>91</v>
      </c>
      <c r="E26" s="32" t="s">
        <v>84</v>
      </c>
      <c r="F26" s="33"/>
      <c r="G26" s="34"/>
      <c r="H26" s="34">
        <v>0.0</v>
      </c>
      <c r="I26" s="35">
        <v>0.0</v>
      </c>
      <c r="J26" s="20"/>
      <c r="K26" s="20" t="str">
        <f t="shared" si="1"/>
        <v>紙幣,SSW7,b6,0,0 #(bit6)０固定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40">
        <f t="shared" si="3"/>
        <v>7</v>
      </c>
      <c r="D27" s="36" t="s">
        <v>92</v>
      </c>
      <c r="E27" s="32" t="s">
        <v>84</v>
      </c>
      <c r="F27" s="33"/>
      <c r="G27" s="34"/>
      <c r="H27" s="34">
        <v>0.0</v>
      </c>
      <c r="I27" s="35">
        <v>0.0</v>
      </c>
      <c r="J27" s="20"/>
      <c r="K27" s="20" t="str">
        <f t="shared" si="1"/>
        <v>紙幣,SSW7,b7,0,0 #(bit7)０固定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31">
        <v>8.0</v>
      </c>
      <c r="D28" s="37" t="s">
        <v>94</v>
      </c>
      <c r="E28" s="37"/>
      <c r="F28" s="37"/>
      <c r="G28" s="38"/>
      <c r="H28" s="39"/>
      <c r="I28" s="35"/>
      <c r="J28" s="20"/>
      <c r="K28" s="20" t="str">
        <f t="shared" si="1"/>
        <v>#紙幣,SSW8,出金処理の機能設定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40">
        <f t="shared" ref="C29:C36" si="4">C28</f>
        <v>8</v>
      </c>
      <c r="D29" s="31" t="s">
        <v>79</v>
      </c>
      <c r="E29" s="32" t="s">
        <v>95</v>
      </c>
      <c r="F29" s="33" t="s">
        <v>96</v>
      </c>
      <c r="G29" s="34" t="s">
        <v>82</v>
      </c>
      <c r="H29" s="34">
        <v>0.0</v>
      </c>
      <c r="I29" s="35">
        <v>0.0</v>
      </c>
      <c r="J29" s="20"/>
      <c r="K29" s="20" t="str">
        <f t="shared" si="1"/>
        <v>紙幣,SSW8,b0,0,0 #(bit0)【払い出し】ボタン  《0:無効、1:有効、》   (設定範囲：0,1)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40">
        <f t="shared" si="4"/>
        <v>8</v>
      </c>
      <c r="D30" s="31" t="s">
        <v>83</v>
      </c>
      <c r="E30" s="32" t="s">
        <v>97</v>
      </c>
      <c r="F30" s="33" t="s">
        <v>98</v>
      </c>
      <c r="G30" s="34" t="s">
        <v>82</v>
      </c>
      <c r="H30" s="34">
        <v>0.0</v>
      </c>
      <c r="I30" s="35">
        <v>0.0</v>
      </c>
      <c r="J30" s="20"/>
      <c r="K30" s="20" t="str">
        <f t="shared" si="1"/>
        <v>紙幣,SSW8,b1,0,0 #(bit1)【払い出し】ボタン有効となる鍵位置  《0:運用 or 管理、1:管理のみ》   (設定範囲：0,1)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40">
        <f t="shared" si="4"/>
        <v>8</v>
      </c>
      <c r="D31" s="31" t="s">
        <v>85</v>
      </c>
      <c r="E31" s="32" t="s">
        <v>84</v>
      </c>
      <c r="F31" s="33"/>
      <c r="G31" s="34"/>
      <c r="H31" s="34">
        <v>0.0</v>
      </c>
      <c r="I31" s="35">
        <v>0.0</v>
      </c>
      <c r="J31" s="20"/>
      <c r="K31" s="20" t="str">
        <f t="shared" si="1"/>
        <v>紙幣,SSW8,b2,0,0 #(bit2)０固定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40">
        <f t="shared" si="4"/>
        <v>8</v>
      </c>
      <c r="D32" s="31" t="s">
        <v>86</v>
      </c>
      <c r="E32" s="32" t="s">
        <v>84</v>
      </c>
      <c r="F32" s="33"/>
      <c r="G32" s="34"/>
      <c r="H32" s="34">
        <v>0.0</v>
      </c>
      <c r="I32" s="35">
        <v>0.0</v>
      </c>
      <c r="J32" s="20"/>
      <c r="K32" s="20" t="str">
        <f t="shared" si="1"/>
        <v>紙幣,SSW8,b3,0,0 #(bit3)０固定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40">
        <f t="shared" si="4"/>
        <v>8</v>
      </c>
      <c r="D33" s="31" t="s">
        <v>87</v>
      </c>
      <c r="E33" s="32" t="s">
        <v>182</v>
      </c>
      <c r="F33" s="33" t="s">
        <v>183</v>
      </c>
      <c r="G33" s="34" t="s">
        <v>82</v>
      </c>
      <c r="H33" s="34">
        <v>0.0</v>
      </c>
      <c r="I33" s="35">
        <v>0.0</v>
      </c>
      <c r="J33" s="20"/>
      <c r="K33" s="20" t="str">
        <f t="shared" si="1"/>
        <v>紙幣,SSW8,b4,0,0 #(bit4)出金順序の設定  《0:高額券、1:低額券》   (設定範囲：0,1)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40">
        <f t="shared" si="4"/>
        <v>8</v>
      </c>
      <c r="D34" s="31" t="s">
        <v>88</v>
      </c>
      <c r="E34" s="32" t="s">
        <v>84</v>
      </c>
      <c r="F34" s="33"/>
      <c r="G34" s="34"/>
      <c r="H34" s="34">
        <v>0.0</v>
      </c>
      <c r="I34" s="35">
        <v>0.0</v>
      </c>
      <c r="J34" s="20"/>
      <c r="K34" s="20" t="str">
        <f t="shared" si="1"/>
        <v>紙幣,SSW8,b5,0,0 #(bit5)０固定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40">
        <f t="shared" si="4"/>
        <v>8</v>
      </c>
      <c r="D35" s="31" t="s">
        <v>91</v>
      </c>
      <c r="E35" s="32" t="s">
        <v>84</v>
      </c>
      <c r="F35" s="33"/>
      <c r="G35" s="34"/>
      <c r="H35" s="34">
        <v>0.0</v>
      </c>
      <c r="I35" s="35">
        <v>0.0</v>
      </c>
      <c r="J35" s="20"/>
      <c r="K35" s="20" t="str">
        <f t="shared" si="1"/>
        <v>紙幣,SSW8,b6,0,0 #(bit6)０固定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40">
        <f t="shared" si="4"/>
        <v>8</v>
      </c>
      <c r="D36" s="36" t="s">
        <v>92</v>
      </c>
      <c r="E36" s="32" t="s">
        <v>84</v>
      </c>
      <c r="F36" s="33"/>
      <c r="G36" s="34"/>
      <c r="H36" s="34">
        <v>0.0</v>
      </c>
      <c r="I36" s="35">
        <v>0.0</v>
      </c>
      <c r="J36" s="20"/>
      <c r="K36" s="20" t="str">
        <f t="shared" si="1"/>
        <v>紙幣,SSW8,b7,0,0 #(bit7)０固定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31">
        <v>11.0</v>
      </c>
      <c r="D37" s="37" t="s">
        <v>104</v>
      </c>
      <c r="E37" s="37"/>
      <c r="F37" s="37"/>
      <c r="G37" s="38"/>
      <c r="H37" s="39"/>
      <c r="I37" s="35"/>
      <c r="J37" s="20"/>
      <c r="K37" s="20" t="str">
        <f t="shared" si="1"/>
        <v>#紙幣,SSW11,回収処理内容の設定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40">
        <f t="shared" ref="C38:C45" si="5">C37</f>
        <v>11</v>
      </c>
      <c r="D38" s="31" t="s">
        <v>79</v>
      </c>
      <c r="E38" s="32" t="s">
        <v>105</v>
      </c>
      <c r="F38" s="33" t="s">
        <v>101</v>
      </c>
      <c r="G38" s="34" t="s">
        <v>82</v>
      </c>
      <c r="H38" s="34">
        <v>1.0</v>
      </c>
      <c r="I38" s="35">
        <v>1.0</v>
      </c>
      <c r="J38" s="20"/>
      <c r="K38" s="20" t="str">
        <f t="shared" si="1"/>
        <v>紙幣,SSW11,b0,1,1 #(bit0)全回収 有効／無効設定  《0:無効、1:有効》   (設定範囲：0,1)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40">
        <f t="shared" si="5"/>
        <v>11</v>
      </c>
      <c r="D39" s="31" t="s">
        <v>83</v>
      </c>
      <c r="E39" s="32" t="s">
        <v>106</v>
      </c>
      <c r="F39" s="33" t="s">
        <v>107</v>
      </c>
      <c r="G39" s="34" t="s">
        <v>82</v>
      </c>
      <c r="H39" s="34">
        <v>0.0</v>
      </c>
      <c r="I39" s="35">
        <v>0.0</v>
      </c>
      <c r="J39" s="20"/>
      <c r="K39" s="20" t="str">
        <f t="shared" si="1"/>
        <v>紙幣,SSW11,b1,0,0 #(bit1)回収選択画面のデフォルト選択回収指示  《0:全回収、1:残置回収》   (設定範囲：0,1)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40">
        <f t="shared" si="5"/>
        <v>11</v>
      </c>
      <c r="D40" s="31" t="s">
        <v>85</v>
      </c>
      <c r="E40" s="32" t="s">
        <v>108</v>
      </c>
      <c r="F40" s="33" t="s">
        <v>109</v>
      </c>
      <c r="G40" s="34" t="s">
        <v>82</v>
      </c>
      <c r="H40" s="34">
        <v>0.0</v>
      </c>
      <c r="I40" s="35">
        <v>0.0</v>
      </c>
      <c r="J40" s="20"/>
      <c r="K40" s="20" t="str">
        <f t="shared" si="1"/>
        <v>紙幣,SSW11,b2,0,0 #(bit2)残置設定  《0:金額残置、1:枚数残置》   (設定範囲：0,1)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40">
        <f t="shared" si="5"/>
        <v>11</v>
      </c>
      <c r="D41" s="31" t="s">
        <v>86</v>
      </c>
      <c r="E41" s="32" t="s">
        <v>111</v>
      </c>
      <c r="F41" s="33" t="s">
        <v>81</v>
      </c>
      <c r="G41" s="34" t="s">
        <v>82</v>
      </c>
      <c r="H41" s="34">
        <v>0.0</v>
      </c>
      <c r="I41" s="42">
        <v>1.0</v>
      </c>
      <c r="J41" s="20"/>
      <c r="K41" s="20" t="str">
        <f t="shared" si="1"/>
        <v>紙幣,SSW11,b3,0,1 #(bit3)残置回収 回収動作 有効／無効設定  《0:有効、1:無効》   (設定範囲：0,1)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40">
        <f t="shared" si="5"/>
        <v>11</v>
      </c>
      <c r="D42" s="31" t="s">
        <v>87</v>
      </c>
      <c r="E42" s="32" t="s">
        <v>84</v>
      </c>
      <c r="F42" s="33"/>
      <c r="G42" s="34"/>
      <c r="H42" s="34">
        <v>0.0</v>
      </c>
      <c r="I42" s="35">
        <v>0.0</v>
      </c>
      <c r="J42" s="20"/>
      <c r="K42" s="20" t="str">
        <f t="shared" si="1"/>
        <v>紙幣,SSW11,b4,0,0 #(bit4)０固定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40">
        <f t="shared" si="5"/>
        <v>11</v>
      </c>
      <c r="D43" s="31" t="s">
        <v>88</v>
      </c>
      <c r="E43" s="32" t="s">
        <v>84</v>
      </c>
      <c r="F43" s="33"/>
      <c r="G43" s="34"/>
      <c r="H43" s="34">
        <v>0.0</v>
      </c>
      <c r="I43" s="35">
        <v>0.0</v>
      </c>
      <c r="J43" s="20"/>
      <c r="K43" s="20" t="str">
        <f t="shared" si="1"/>
        <v>紙幣,SSW11,b5,0,0 #(bit5)０固定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40">
        <f t="shared" si="5"/>
        <v>11</v>
      </c>
      <c r="D44" s="31" t="s">
        <v>91</v>
      </c>
      <c r="E44" s="32" t="s">
        <v>184</v>
      </c>
      <c r="F44" s="33" t="s">
        <v>101</v>
      </c>
      <c r="G44" s="34" t="s">
        <v>82</v>
      </c>
      <c r="H44" s="34">
        <v>0.0</v>
      </c>
      <c r="I44" s="35">
        <v>0.0</v>
      </c>
      <c r="J44" s="20"/>
      <c r="K44" s="20" t="str">
        <f t="shared" si="1"/>
        <v>紙幣,SSW11,b6,0,0 #(bit6)連動残置回収  《0:無効、1:有効》   (設定範囲：0,1)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40">
        <f t="shared" si="5"/>
        <v>11</v>
      </c>
      <c r="D45" s="36" t="s">
        <v>92</v>
      </c>
      <c r="E45" s="41" t="s">
        <v>110</v>
      </c>
      <c r="F45" s="33" t="s">
        <v>101</v>
      </c>
      <c r="G45" s="34" t="s">
        <v>82</v>
      </c>
      <c r="H45" s="34">
        <v>1.0</v>
      </c>
      <c r="I45" s="42">
        <v>0.0</v>
      </c>
      <c r="J45" s="20"/>
      <c r="K45" s="20" t="str">
        <f t="shared" si="1"/>
        <v>紙幣,SSW11,b7,1,0 #(bit7)在高異常発生の際、残置回収の有効／無効設定  《0:無効、1:有効》   (設定範囲：0,1)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31">
        <v>12.0</v>
      </c>
      <c r="D46" s="32" t="s">
        <v>185</v>
      </c>
      <c r="E46" s="32"/>
      <c r="F46" s="33"/>
      <c r="G46" s="34" t="s">
        <v>169</v>
      </c>
      <c r="H46" s="34">
        <v>10.0</v>
      </c>
      <c r="I46" s="42">
        <v>0.0</v>
      </c>
      <c r="J46" s="20"/>
      <c r="K46" s="20" t="str">
        <f t="shared" si="1"/>
        <v>紙幣,SSW12,b0,10,0 #５０００円残置枚数設定 (設定範囲：0 ～ 200)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31">
        <v>13.0</v>
      </c>
      <c r="D47" s="37" t="s">
        <v>186</v>
      </c>
      <c r="E47" s="37"/>
      <c r="F47" s="37"/>
      <c r="G47" s="38"/>
      <c r="H47" s="39"/>
      <c r="I47" s="35"/>
      <c r="J47" s="20"/>
      <c r="K47" s="20" t="str">
        <f t="shared" si="1"/>
        <v>#紙幣,SSW13,包装硬貨部設定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40">
        <f t="shared" ref="C48:C55" si="6">C47</f>
        <v>13</v>
      </c>
      <c r="D48" s="31" t="s">
        <v>79</v>
      </c>
      <c r="E48" s="32" t="s">
        <v>187</v>
      </c>
      <c r="F48" s="33" t="s">
        <v>101</v>
      </c>
      <c r="G48" s="34" t="s">
        <v>82</v>
      </c>
      <c r="H48" s="34">
        <v>1.0</v>
      </c>
      <c r="I48" s="35">
        <v>1.0</v>
      </c>
      <c r="J48" s="20"/>
      <c r="K48" s="20" t="str">
        <f t="shared" si="1"/>
        <v>紙幣,SSW13,b0,1,1 #(bit0)包装硬貨部接続  《0:無効、1:有効》   (設定範囲：0,1)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40">
        <f t="shared" si="6"/>
        <v>13</v>
      </c>
      <c r="D49" s="31" t="s">
        <v>83</v>
      </c>
      <c r="E49" s="32" t="s">
        <v>188</v>
      </c>
      <c r="F49" s="33" t="s">
        <v>189</v>
      </c>
      <c r="G49" s="31" t="s">
        <v>82</v>
      </c>
      <c r="H49" s="34">
        <v>1.0</v>
      </c>
      <c r="I49" s="35">
        <v>1.0</v>
      </c>
      <c r="J49" s="20"/>
      <c r="K49" s="20" t="str">
        <f t="shared" si="1"/>
        <v>紙幣,SSW13,b1,1,1 #(bit1)【ドロア開】ボタンの表示／非表示 (下位ビット)  《0:表示、1:管理のみ表示、2:非表示》   (設定範囲：0,1)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40">
        <f t="shared" si="6"/>
        <v>13</v>
      </c>
      <c r="D50" s="31" t="s">
        <v>85</v>
      </c>
      <c r="E50" s="44" t="s">
        <v>190</v>
      </c>
      <c r="F50" s="45" t="s">
        <v>191</v>
      </c>
      <c r="G50" s="53" t="s">
        <v>82</v>
      </c>
      <c r="H50" s="46">
        <v>0.0</v>
      </c>
      <c r="I50" s="47">
        <v>0.0</v>
      </c>
      <c r="J50" s="20"/>
      <c r="K50" s="20" t="str">
        <f t="shared" si="1"/>
        <v>紙幣,SSW13,b2,0,0 #(bit2)【ドロア開】ボタンの表示／非表示 (上位ビット)  《※"2:非表示"とする場合、bit1 に'0', bit2 に'1' を指定する》   (設定範囲：0,1)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40">
        <f t="shared" si="6"/>
        <v>13</v>
      </c>
      <c r="D51" s="31" t="s">
        <v>86</v>
      </c>
      <c r="E51" s="32" t="s">
        <v>192</v>
      </c>
      <c r="F51" s="33" t="s">
        <v>193</v>
      </c>
      <c r="G51" s="31" t="s">
        <v>82</v>
      </c>
      <c r="H51" s="34">
        <v>1.0</v>
      </c>
      <c r="I51" s="35">
        <v>0.0</v>
      </c>
      <c r="J51" s="20"/>
      <c r="K51" s="20" t="str">
        <f t="shared" si="1"/>
        <v>紙幣,SSW13,b3,1,0 #(bit3)精査フォーマット (下位ビット)  《0:包装硬貨分拡張、1:拡張なし(硬貨に加算)、2:拡張なし(加算なし)》   (設定範囲：0,1)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40">
        <f t="shared" si="6"/>
        <v>13</v>
      </c>
      <c r="D52" s="31" t="s">
        <v>87</v>
      </c>
      <c r="E52" s="44" t="s">
        <v>194</v>
      </c>
      <c r="F52" s="45" t="s">
        <v>195</v>
      </c>
      <c r="G52" s="53" t="s">
        <v>82</v>
      </c>
      <c r="H52" s="46">
        <v>0.0</v>
      </c>
      <c r="I52" s="47">
        <v>0.0</v>
      </c>
      <c r="J52" s="20"/>
      <c r="K52" s="20" t="str">
        <f t="shared" si="1"/>
        <v>紙幣,SSW13,b4,0,0 #(bit4)精査フォーマット (上位ビット)  《※"2:拡張なし(加算なし)"とする場合、bit3 に'0', bit4 に'1' を指定する》   (設定範囲：0,1)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40">
        <f t="shared" si="6"/>
        <v>13</v>
      </c>
      <c r="D53" s="31" t="s">
        <v>88</v>
      </c>
      <c r="E53" s="32" t="s">
        <v>196</v>
      </c>
      <c r="F53" s="33" t="s">
        <v>197</v>
      </c>
      <c r="G53" s="34" t="s">
        <v>82</v>
      </c>
      <c r="H53" s="34">
        <v>0.0</v>
      </c>
      <c r="I53" s="35">
        <v>0.0</v>
      </c>
      <c r="J53" s="20"/>
      <c r="K53" s="20" t="str">
        <f t="shared" si="1"/>
        <v>紙幣,SSW13,b5,0,0 #(bit5)５００円包装硬貨巻き数  《0:５０枚、1:２０枚》   (設定範囲：0,1)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40">
        <f t="shared" si="6"/>
        <v>13</v>
      </c>
      <c r="D54" s="31" t="s">
        <v>91</v>
      </c>
      <c r="E54" s="32" t="s">
        <v>198</v>
      </c>
      <c r="F54" s="33" t="s">
        <v>101</v>
      </c>
      <c r="G54" s="34" t="s">
        <v>82</v>
      </c>
      <c r="H54" s="34">
        <v>0.0</v>
      </c>
      <c r="I54" s="35">
        <v>0.0</v>
      </c>
      <c r="J54" s="20"/>
      <c r="K54" s="20" t="str">
        <f t="shared" si="1"/>
        <v>紙幣,SSW13,b6,0,0 #(bit6)包装硬貨連動残置  《0:無効、1:有効》   (設定範囲：0,1)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40">
        <f t="shared" si="6"/>
        <v>13</v>
      </c>
      <c r="D55" s="36" t="s">
        <v>92</v>
      </c>
      <c r="E55" s="32" t="s">
        <v>84</v>
      </c>
      <c r="F55" s="33"/>
      <c r="G55" s="34"/>
      <c r="H55" s="34">
        <v>0.0</v>
      </c>
      <c r="I55" s="35">
        <v>0.0</v>
      </c>
      <c r="J55" s="20"/>
      <c r="K55" s="20" t="str">
        <f t="shared" si="1"/>
        <v>紙幣,SSW13,b7,0,0 #(bit7)０固定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31">
        <v>18.0</v>
      </c>
      <c r="D56" s="37" t="s">
        <v>123</v>
      </c>
      <c r="E56" s="37"/>
      <c r="F56" s="37"/>
      <c r="G56" s="38"/>
      <c r="H56" s="39"/>
      <c r="I56" s="35"/>
      <c r="J56" s="20"/>
      <c r="K56" s="20" t="str">
        <f t="shared" si="1"/>
        <v>#紙幣,SSW18,両替機能の設定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40">
        <f t="shared" ref="C57:C64" si="7">C56</f>
        <v>18</v>
      </c>
      <c r="D57" s="31" t="s">
        <v>79</v>
      </c>
      <c r="E57" s="32" t="s">
        <v>124</v>
      </c>
      <c r="F57" s="33" t="s">
        <v>81</v>
      </c>
      <c r="G57" s="34" t="s">
        <v>82</v>
      </c>
      <c r="H57" s="34">
        <v>0.0</v>
      </c>
      <c r="I57" s="35">
        <v>1.0</v>
      </c>
      <c r="J57" s="20"/>
      <c r="K57" s="20" t="str">
        <f t="shared" si="1"/>
        <v>紙幣,SSW18,b0,0,1 #(bit0)【両替】ボタン  《0:有効、1:無効》   (設定範囲：0,1)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40">
        <f t="shared" si="7"/>
        <v>18</v>
      </c>
      <c r="D58" s="31" t="s">
        <v>83</v>
      </c>
      <c r="E58" s="32" t="s">
        <v>84</v>
      </c>
      <c r="F58" s="33"/>
      <c r="G58" s="34"/>
      <c r="H58" s="34">
        <v>0.0</v>
      </c>
      <c r="I58" s="35">
        <v>0.0</v>
      </c>
      <c r="J58" s="20"/>
      <c r="K58" s="20" t="str">
        <f t="shared" si="1"/>
        <v>紙幣,SSW18,b1,0,0 #(bit1)０固定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40">
        <f t="shared" si="7"/>
        <v>18</v>
      </c>
      <c r="D59" s="31" t="s">
        <v>85</v>
      </c>
      <c r="E59" s="32" t="s">
        <v>199</v>
      </c>
      <c r="F59" s="33" t="s">
        <v>101</v>
      </c>
      <c r="G59" s="34" t="s">
        <v>82</v>
      </c>
      <c r="H59" s="34">
        <v>0.0</v>
      </c>
      <c r="I59" s="35">
        <v>0.0</v>
      </c>
      <c r="J59" s="20"/>
      <c r="K59" s="20" t="str">
        <f t="shared" si="1"/>
        <v>紙幣,SSW18,b2,0,0 #(bit2)包装硬貨両替機能  《0:無効、1:有効》   (設定範囲：0,1)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40">
        <f t="shared" si="7"/>
        <v>18</v>
      </c>
      <c r="D60" s="31" t="s">
        <v>86</v>
      </c>
      <c r="E60" s="32" t="s">
        <v>84</v>
      </c>
      <c r="F60" s="33"/>
      <c r="G60" s="34"/>
      <c r="H60" s="34">
        <v>0.0</v>
      </c>
      <c r="I60" s="35">
        <v>0.0</v>
      </c>
      <c r="J60" s="20"/>
      <c r="K60" s="20" t="str">
        <f t="shared" si="1"/>
        <v>紙幣,SSW18,b3,0,0 #(bit3)０固定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40">
        <f t="shared" si="7"/>
        <v>18</v>
      </c>
      <c r="D61" s="31" t="s">
        <v>87</v>
      </c>
      <c r="E61" s="32" t="s">
        <v>84</v>
      </c>
      <c r="F61" s="33"/>
      <c r="G61" s="34"/>
      <c r="H61" s="34">
        <v>0.0</v>
      </c>
      <c r="I61" s="35">
        <v>0.0</v>
      </c>
      <c r="J61" s="20"/>
      <c r="K61" s="20" t="str">
        <f t="shared" si="1"/>
        <v>紙幣,SSW18,b4,0,0 #(bit4)０固定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40">
        <f t="shared" si="7"/>
        <v>18</v>
      </c>
      <c r="D62" s="31" t="s">
        <v>88</v>
      </c>
      <c r="E62" s="32" t="s">
        <v>84</v>
      </c>
      <c r="F62" s="33"/>
      <c r="G62" s="34"/>
      <c r="H62" s="34">
        <v>0.0</v>
      </c>
      <c r="I62" s="35">
        <v>0.0</v>
      </c>
      <c r="J62" s="20"/>
      <c r="K62" s="20" t="str">
        <f t="shared" si="1"/>
        <v>紙幣,SSW18,b5,0,0 #(bit5)０固定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40">
        <f t="shared" si="7"/>
        <v>18</v>
      </c>
      <c r="D63" s="31" t="s">
        <v>91</v>
      </c>
      <c r="E63" s="32" t="s">
        <v>84</v>
      </c>
      <c r="F63" s="33"/>
      <c r="G63" s="34"/>
      <c r="H63" s="34">
        <v>0.0</v>
      </c>
      <c r="I63" s="35">
        <v>0.0</v>
      </c>
      <c r="J63" s="20"/>
      <c r="K63" s="20" t="str">
        <f t="shared" si="1"/>
        <v>紙幣,SSW18,b6,0,0 #(bit6)０固定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40">
        <f t="shared" si="7"/>
        <v>18</v>
      </c>
      <c r="D64" s="36" t="s">
        <v>92</v>
      </c>
      <c r="E64" s="32" t="s">
        <v>84</v>
      </c>
      <c r="F64" s="33"/>
      <c r="G64" s="34"/>
      <c r="H64" s="34">
        <v>0.0</v>
      </c>
      <c r="I64" s="35">
        <v>0.0</v>
      </c>
      <c r="J64" s="20"/>
      <c r="K64" s="20" t="str">
        <f t="shared" si="1"/>
        <v>紙幣,SSW18,b7,0,0 #(bit7)０固定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31">
        <v>21.0</v>
      </c>
      <c r="D65" s="32" t="s">
        <v>200</v>
      </c>
      <c r="E65" s="32"/>
      <c r="F65" s="33" t="s">
        <v>201</v>
      </c>
      <c r="G65" s="34" t="s">
        <v>82</v>
      </c>
      <c r="H65" s="34">
        <v>0.0</v>
      </c>
      <c r="I65" s="35">
        <v>0.0</v>
      </c>
      <c r="J65" s="20"/>
      <c r="K65" s="20" t="str">
        <f t="shared" si="1"/>
        <v>紙幣,SSW21,b0,0,0 #計数モード設定  《0:本券モード、1:ダミーモード》   (設定範囲：0,1)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31">
        <v>24.0</v>
      </c>
      <c r="D66" s="37" t="s">
        <v>202</v>
      </c>
      <c r="E66" s="37"/>
      <c r="F66" s="37"/>
      <c r="G66" s="38"/>
      <c r="H66" s="39"/>
      <c r="I66" s="35"/>
      <c r="J66" s="20"/>
      <c r="K66" s="20" t="str">
        <f t="shared" si="1"/>
        <v>#紙幣,SSW24,上位Ｉ／Ｆ設定２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40">
        <f t="shared" ref="C67:C74" si="8">C66</f>
        <v>24</v>
      </c>
      <c r="D67" s="31" t="s">
        <v>79</v>
      </c>
      <c r="E67" s="32" t="s">
        <v>203</v>
      </c>
      <c r="F67" s="33" t="s">
        <v>204</v>
      </c>
      <c r="G67" s="34" t="s">
        <v>82</v>
      </c>
      <c r="H67" s="34">
        <v>0.0</v>
      </c>
      <c r="I67" s="35">
        <v>1.0</v>
      </c>
      <c r="J67" s="20"/>
      <c r="K67" s="20" t="str">
        <f t="shared" si="1"/>
        <v>紙幣,SSW24,b0,0,1 #(bit0)金額指定フォーマット  《0:５桁、1:６桁》   (設定範囲：0,1)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40">
        <f t="shared" si="8"/>
        <v>24</v>
      </c>
      <c r="D68" s="31" t="s">
        <v>83</v>
      </c>
      <c r="E68" s="32" t="s">
        <v>205</v>
      </c>
      <c r="F68" s="33" t="s">
        <v>206</v>
      </c>
      <c r="G68" s="34" t="s">
        <v>82</v>
      </c>
      <c r="H68" s="34">
        <v>0.0</v>
      </c>
      <c r="I68" s="35">
        <v>1.0</v>
      </c>
      <c r="J68" s="20"/>
      <c r="K68" s="20" t="str">
        <f t="shared" si="1"/>
        <v>紙幣,SSW24,b1,0,1 #(bit1)枚数指定出金フォーマット  《0:２桁、1:３桁》   (設定範囲：0,1)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40">
        <f t="shared" si="8"/>
        <v>24</v>
      </c>
      <c r="D69" s="31" t="s">
        <v>85</v>
      </c>
      <c r="E69" s="32" t="s">
        <v>84</v>
      </c>
      <c r="F69" s="33"/>
      <c r="G69" s="34"/>
      <c r="H69" s="34">
        <v>0.0</v>
      </c>
      <c r="I69" s="35">
        <v>0.0</v>
      </c>
      <c r="J69" s="20"/>
      <c r="K69" s="20" t="str">
        <f t="shared" si="1"/>
        <v>紙幣,SSW24,b2,0,0 #(bit2)０固定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40">
        <f t="shared" si="8"/>
        <v>24</v>
      </c>
      <c r="D70" s="31" t="s">
        <v>86</v>
      </c>
      <c r="E70" s="32" t="s">
        <v>84</v>
      </c>
      <c r="F70" s="33"/>
      <c r="G70" s="34"/>
      <c r="H70" s="34">
        <v>0.0</v>
      </c>
      <c r="I70" s="35">
        <v>0.0</v>
      </c>
      <c r="J70" s="20"/>
      <c r="K70" s="20" t="str">
        <f t="shared" si="1"/>
        <v>紙幣,SSW24,b3,0,0 #(bit3)０固定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40">
        <f t="shared" si="8"/>
        <v>24</v>
      </c>
      <c r="D71" s="31" t="s">
        <v>87</v>
      </c>
      <c r="E71" s="32" t="s">
        <v>84</v>
      </c>
      <c r="F71" s="33"/>
      <c r="G71" s="34"/>
      <c r="H71" s="34">
        <v>0.0</v>
      </c>
      <c r="I71" s="35">
        <v>0.0</v>
      </c>
      <c r="J71" s="20"/>
      <c r="K71" s="20" t="str">
        <f t="shared" si="1"/>
        <v>紙幣,SSW24,b4,0,0 #(bit4)０固定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40">
        <f t="shared" si="8"/>
        <v>24</v>
      </c>
      <c r="D72" s="31" t="s">
        <v>88</v>
      </c>
      <c r="E72" s="32" t="s">
        <v>84</v>
      </c>
      <c r="F72" s="33"/>
      <c r="G72" s="34"/>
      <c r="H72" s="34">
        <v>0.0</v>
      </c>
      <c r="I72" s="35">
        <v>0.0</v>
      </c>
      <c r="J72" s="20"/>
      <c r="K72" s="20" t="str">
        <f t="shared" si="1"/>
        <v>紙幣,SSW24,b5,0,0 #(bit5)０固定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40">
        <f t="shared" si="8"/>
        <v>24</v>
      </c>
      <c r="D73" s="31" t="s">
        <v>91</v>
      </c>
      <c r="E73" s="32" t="s">
        <v>84</v>
      </c>
      <c r="F73" s="33"/>
      <c r="G73" s="34"/>
      <c r="H73" s="34">
        <v>0.0</v>
      </c>
      <c r="I73" s="35">
        <v>0.0</v>
      </c>
      <c r="J73" s="20"/>
      <c r="K73" s="20" t="str">
        <f t="shared" si="1"/>
        <v>紙幣,SSW24,b6,0,0 #(bit6)０固定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40">
        <f t="shared" si="8"/>
        <v>24</v>
      </c>
      <c r="D74" s="36" t="s">
        <v>92</v>
      </c>
      <c r="E74" s="32" t="s">
        <v>207</v>
      </c>
      <c r="F74" s="33"/>
      <c r="G74" s="34"/>
      <c r="H74" s="34">
        <v>0.0</v>
      </c>
      <c r="I74" s="35">
        <v>0.0</v>
      </c>
      <c r="J74" s="20"/>
      <c r="K74" s="20" t="str">
        <f t="shared" si="1"/>
        <v>紙幣,SSW24,b7,0,0 #(bit7)デバッグ用設定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31">
        <v>29.0</v>
      </c>
      <c r="D75" s="37" t="s">
        <v>129</v>
      </c>
      <c r="E75" s="37"/>
      <c r="F75" s="37"/>
      <c r="G75" s="38"/>
      <c r="H75" s="39"/>
      <c r="I75" s="35"/>
      <c r="J75" s="20"/>
      <c r="K75" s="20" t="str">
        <f t="shared" si="1"/>
        <v>#紙幣,SSW29,預かり金計数モード設定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40">
        <f t="shared" ref="C76:C83" si="9">C75</f>
        <v>29</v>
      </c>
      <c r="D76" s="31" t="s">
        <v>79</v>
      </c>
      <c r="E76" s="32" t="s">
        <v>130</v>
      </c>
      <c r="F76" s="33" t="s">
        <v>131</v>
      </c>
      <c r="G76" s="34" t="s">
        <v>82</v>
      </c>
      <c r="H76" s="34">
        <v>1.0</v>
      </c>
      <c r="I76" s="35">
        <v>0.0</v>
      </c>
      <c r="J76" s="20"/>
      <c r="K76" s="20" t="str">
        <f t="shared" si="1"/>
        <v>紙幣,SSW29,b0,1,0 #(bit0)モード設定  《0:預かり金計数モード、1:つり銭機モード》   (設定範囲：0,1)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40">
        <f t="shared" si="9"/>
        <v>29</v>
      </c>
      <c r="D77" s="31" t="s">
        <v>83</v>
      </c>
      <c r="E77" s="32" t="s">
        <v>207</v>
      </c>
      <c r="F77" s="33"/>
      <c r="G77" s="34"/>
      <c r="H77" s="34">
        <v>0.0</v>
      </c>
      <c r="I77" s="35">
        <v>0.0</v>
      </c>
      <c r="J77" s="20"/>
      <c r="K77" s="20" t="str">
        <f t="shared" si="1"/>
        <v>紙幣,SSW29,b1,0,0 #(bit1)デバッグ用設定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40">
        <f t="shared" si="9"/>
        <v>29</v>
      </c>
      <c r="D78" s="31" t="s">
        <v>85</v>
      </c>
      <c r="E78" s="32" t="s">
        <v>207</v>
      </c>
      <c r="F78" s="33"/>
      <c r="G78" s="34"/>
      <c r="H78" s="34">
        <v>0.0</v>
      </c>
      <c r="I78" s="35">
        <v>0.0</v>
      </c>
      <c r="J78" s="20"/>
      <c r="K78" s="20" t="str">
        <f t="shared" si="1"/>
        <v>紙幣,SSW29,b2,0,0 #(bit2)デバッグ用設定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40">
        <f t="shared" si="9"/>
        <v>29</v>
      </c>
      <c r="D79" s="31" t="s">
        <v>86</v>
      </c>
      <c r="E79" s="32" t="s">
        <v>84</v>
      </c>
      <c r="F79" s="33"/>
      <c r="G79" s="34"/>
      <c r="H79" s="34">
        <v>0.0</v>
      </c>
      <c r="I79" s="35">
        <v>0.0</v>
      </c>
      <c r="J79" s="20"/>
      <c r="K79" s="20" t="str">
        <f t="shared" si="1"/>
        <v>紙幣,SSW29,b3,0,0 #(bit3)０固定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40">
        <f t="shared" si="9"/>
        <v>29</v>
      </c>
      <c r="D80" s="31" t="s">
        <v>87</v>
      </c>
      <c r="E80" s="32" t="s">
        <v>84</v>
      </c>
      <c r="F80" s="33"/>
      <c r="G80" s="34"/>
      <c r="H80" s="34">
        <v>0.0</v>
      </c>
      <c r="I80" s="35">
        <v>0.0</v>
      </c>
      <c r="J80" s="20"/>
      <c r="K80" s="20" t="str">
        <f t="shared" si="1"/>
        <v>紙幣,SSW29,b4,0,0 #(bit4)０固定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40">
        <f t="shared" si="9"/>
        <v>29</v>
      </c>
      <c r="D81" s="31" t="s">
        <v>88</v>
      </c>
      <c r="E81" s="32" t="s">
        <v>84</v>
      </c>
      <c r="F81" s="33"/>
      <c r="G81" s="34"/>
      <c r="H81" s="34">
        <v>0.0</v>
      </c>
      <c r="I81" s="35">
        <v>0.0</v>
      </c>
      <c r="J81" s="20"/>
      <c r="K81" s="20" t="str">
        <f t="shared" si="1"/>
        <v>紙幣,SSW29,b5,0,0 #(bit5)０固定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40">
        <f t="shared" si="9"/>
        <v>29</v>
      </c>
      <c r="D82" s="31" t="s">
        <v>91</v>
      </c>
      <c r="E82" s="32" t="s">
        <v>84</v>
      </c>
      <c r="F82" s="33"/>
      <c r="G82" s="34"/>
      <c r="H82" s="34">
        <v>0.0</v>
      </c>
      <c r="I82" s="35">
        <v>0.0</v>
      </c>
      <c r="J82" s="20"/>
      <c r="K82" s="20" t="str">
        <f t="shared" si="1"/>
        <v>紙幣,SSW29,b6,0,0 #(bit6)０固定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40">
        <f t="shared" si="9"/>
        <v>29</v>
      </c>
      <c r="D83" s="36" t="s">
        <v>92</v>
      </c>
      <c r="E83" s="32" t="s">
        <v>84</v>
      </c>
      <c r="F83" s="33"/>
      <c r="G83" s="34"/>
      <c r="H83" s="34">
        <v>0.0</v>
      </c>
      <c r="I83" s="35">
        <v>0.0</v>
      </c>
      <c r="J83" s="20"/>
      <c r="K83" s="20" t="str">
        <f t="shared" si="1"/>
        <v>紙幣,SSW29,b7,0,0 #(bit7)０固定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31">
        <v>30.0</v>
      </c>
      <c r="D84" s="37" t="s">
        <v>208</v>
      </c>
      <c r="E84" s="37"/>
      <c r="F84" s="37"/>
      <c r="G84" s="38"/>
      <c r="H84" s="39"/>
      <c r="I84" s="35"/>
      <c r="J84" s="20"/>
      <c r="K84" s="20" t="str">
        <f t="shared" si="1"/>
        <v>#紙幣,SSW30,動作設定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40">
        <f t="shared" ref="C85:C92" si="10">C84</f>
        <v>30</v>
      </c>
      <c r="D85" s="31" t="s">
        <v>79</v>
      </c>
      <c r="E85" s="32" t="s">
        <v>209</v>
      </c>
      <c r="F85" s="33" t="s">
        <v>101</v>
      </c>
      <c r="G85" s="34" t="s">
        <v>82</v>
      </c>
      <c r="H85" s="34">
        <v>0.0</v>
      </c>
      <c r="I85" s="35">
        <v>0.0</v>
      </c>
      <c r="J85" s="20"/>
      <c r="K85" s="20" t="str">
        <f t="shared" si="1"/>
        <v>紙幣,SSW30,b0,0,0 #(bit0)出金優先モード設定  《0:無効、1:有効》   (設定範囲：0,1)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40">
        <f t="shared" si="10"/>
        <v>30</v>
      </c>
      <c r="D86" s="31" t="s">
        <v>83</v>
      </c>
      <c r="E86" s="32" t="s">
        <v>210</v>
      </c>
      <c r="F86" s="33" t="s">
        <v>81</v>
      </c>
      <c r="G86" s="34" t="s">
        <v>82</v>
      </c>
      <c r="H86" s="34">
        <v>0.0</v>
      </c>
      <c r="I86" s="35">
        <v>1.0</v>
      </c>
      <c r="J86" s="20"/>
      <c r="K86" s="20" t="str">
        <f t="shared" si="1"/>
        <v>紙幣,SSW30,b1,0,1 #(bit1)ボタン操作による補充機能  《0:有効、1:無効》   (設定範囲：0,1)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40">
        <f t="shared" si="10"/>
        <v>30</v>
      </c>
      <c r="D87" s="31" t="s">
        <v>85</v>
      </c>
      <c r="E87" s="32" t="s">
        <v>211</v>
      </c>
      <c r="F87" s="33" t="s">
        <v>212</v>
      </c>
      <c r="G87" s="34" t="s">
        <v>82</v>
      </c>
      <c r="H87" s="34">
        <v>0.0</v>
      </c>
      <c r="I87" s="42">
        <v>0.0</v>
      </c>
      <c r="J87" s="20"/>
      <c r="K87" s="20" t="str">
        <f t="shared" si="1"/>
        <v>紙幣,SSW30,b2,0,0 #(bit2)回収時搬送先設定  《0:カセット、1:払出口》   (設定範囲：0,1)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40">
        <f t="shared" si="10"/>
        <v>30</v>
      </c>
      <c r="D88" s="31" t="s">
        <v>86</v>
      </c>
      <c r="E88" s="32" t="s">
        <v>213</v>
      </c>
      <c r="F88" s="33" t="s">
        <v>212</v>
      </c>
      <c r="G88" s="34" t="s">
        <v>82</v>
      </c>
      <c r="H88" s="34">
        <v>0.0</v>
      </c>
      <c r="I88" s="35">
        <v>1.0</v>
      </c>
      <c r="J88" s="20"/>
      <c r="K88" s="20" t="str">
        <f t="shared" si="1"/>
        <v>紙幣,SSW30,b3,0,1 #(bit3)個別回収時搬送先設定  《0:カセット、1:払出口》   (設定範囲：0,1)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40">
        <f t="shared" si="10"/>
        <v>30</v>
      </c>
      <c r="D89" s="31" t="s">
        <v>87</v>
      </c>
      <c r="E89" s="32" t="s">
        <v>100</v>
      </c>
      <c r="F89" s="33" t="s">
        <v>81</v>
      </c>
      <c r="G89" s="34" t="s">
        <v>82</v>
      </c>
      <c r="H89" s="34">
        <v>0.0</v>
      </c>
      <c r="I89" s="42">
        <v>1.0</v>
      </c>
      <c r="J89" s="20"/>
      <c r="K89" s="20" t="str">
        <f t="shared" si="1"/>
        <v>紙幣,SSW30,b4,0,1 #(bit4)個別回収選択  《0:有効、1:無効》   (設定範囲：0,1)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40">
        <f t="shared" si="10"/>
        <v>30</v>
      </c>
      <c r="D90" s="31" t="s">
        <v>88</v>
      </c>
      <c r="E90" s="32" t="s">
        <v>84</v>
      </c>
      <c r="F90" s="33"/>
      <c r="G90" s="34"/>
      <c r="H90" s="34">
        <v>0.0</v>
      </c>
      <c r="I90" s="35">
        <v>0.0</v>
      </c>
      <c r="J90" s="20"/>
      <c r="K90" s="20" t="str">
        <f t="shared" si="1"/>
        <v>紙幣,SSW30,b5,0,0 #(bit5)０固定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40">
        <f t="shared" si="10"/>
        <v>30</v>
      </c>
      <c r="D91" s="31" t="s">
        <v>91</v>
      </c>
      <c r="E91" s="32" t="s">
        <v>214</v>
      </c>
      <c r="F91" s="33" t="s">
        <v>81</v>
      </c>
      <c r="G91" s="34" t="s">
        <v>82</v>
      </c>
      <c r="H91" s="34">
        <v>0.0</v>
      </c>
      <c r="I91" s="35">
        <v>0.0</v>
      </c>
      <c r="J91" s="20"/>
      <c r="K91" s="20" t="str">
        <f t="shared" si="1"/>
        <v>紙幣,SSW30,b6,0,0 #(bit6)連動残置回収実行時：硬貨端数出金設定  《0:有効、1:無効》   (設定範囲：0,1)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40">
        <f t="shared" si="10"/>
        <v>30</v>
      </c>
      <c r="D92" s="36" t="s">
        <v>92</v>
      </c>
      <c r="E92" s="32" t="s">
        <v>84</v>
      </c>
      <c r="F92" s="33"/>
      <c r="G92" s="34"/>
      <c r="H92" s="34">
        <v>0.0</v>
      </c>
      <c r="I92" s="35">
        <v>0.0</v>
      </c>
      <c r="J92" s="20"/>
      <c r="K92" s="20" t="str">
        <f t="shared" si="1"/>
        <v>紙幣,SSW30,b7,0,0 #(bit7)０固定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31">
        <v>31.0</v>
      </c>
      <c r="D93" s="32" t="s">
        <v>215</v>
      </c>
      <c r="E93" s="32"/>
      <c r="F93" s="33" t="s">
        <v>61</v>
      </c>
      <c r="G93" s="34" t="s">
        <v>216</v>
      </c>
      <c r="H93" s="34">
        <v>5.0</v>
      </c>
      <c r="I93" s="35">
        <v>5.0</v>
      </c>
      <c r="J93" s="20"/>
      <c r="K93" s="20" t="str">
        <f t="shared" si="1"/>
        <v>紙幣,SSW31,b0,5,5 #万円収納庫ニアエンプティ枚数設定  《設定値以下ならニアエンプティ判断》   (設定範囲：0 ～ 100)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31">
        <v>32.0</v>
      </c>
      <c r="D94" s="32" t="s">
        <v>217</v>
      </c>
      <c r="E94" s="32"/>
      <c r="F94" s="33" t="s">
        <v>69</v>
      </c>
      <c r="G94" s="34" t="s">
        <v>216</v>
      </c>
      <c r="H94" s="34">
        <v>90.0</v>
      </c>
      <c r="I94" s="35">
        <v>100.0</v>
      </c>
      <c r="J94" s="20"/>
      <c r="K94" s="20" t="str">
        <f t="shared" si="1"/>
        <v>紙幣,SSW32,b0,90,100 #万円収納庫ニアフル枚数設定  《設定値以上ならニアフル判断》   (設定範囲：0 ～ 100)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31">
        <v>34.0</v>
      </c>
      <c r="D95" s="32" t="s">
        <v>218</v>
      </c>
      <c r="E95" s="32"/>
      <c r="F95" s="33"/>
      <c r="G95" s="34" t="s">
        <v>216</v>
      </c>
      <c r="H95" s="34">
        <v>0.0</v>
      </c>
      <c r="I95" s="35">
        <v>0.0</v>
      </c>
      <c r="J95" s="20"/>
      <c r="K95" s="20" t="str">
        <f t="shared" si="1"/>
        <v>紙幣,SSW34,b0,0,0 #万円残置枚数設定 (設定範囲：0 ～ 100)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31">
        <v>45.0</v>
      </c>
      <c r="D96" s="32" t="s">
        <v>219</v>
      </c>
      <c r="E96" s="32"/>
      <c r="F96" s="33" t="s">
        <v>220</v>
      </c>
      <c r="G96" s="34" t="s">
        <v>216</v>
      </c>
      <c r="H96" s="34">
        <v>20.0</v>
      </c>
      <c r="I96" s="35">
        <v>100.0</v>
      </c>
      <c r="J96" s="20"/>
      <c r="K96" s="20" t="str">
        <f t="shared" si="1"/>
        <v>紙幣,SSW45,b0,20,100 #万円収納庫フル枚数設定  《設定値を超えて入金された紙幣はカセットへ》   (設定範囲：0 ～ 100)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31">
        <v>47.0</v>
      </c>
      <c r="D97" s="32" t="s">
        <v>221</v>
      </c>
      <c r="E97" s="32"/>
      <c r="F97" s="33" t="s">
        <v>69</v>
      </c>
      <c r="G97" s="34" t="s">
        <v>222</v>
      </c>
      <c r="H97" s="34">
        <v>1.0</v>
      </c>
      <c r="I97" s="35">
        <v>1.0</v>
      </c>
      <c r="J97" s="20"/>
      <c r="K97" s="20" t="str">
        <f t="shared" si="1"/>
        <v>紙幣,SSW47,b0,1,1 #千円収納庫ニアフル枚数設定 (100の位)  《設定値以上ならニアフル判断》   (設定範囲：0 ～ 4)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31">
        <v>48.0</v>
      </c>
      <c r="D98" s="32" t="s">
        <v>223</v>
      </c>
      <c r="E98" s="32"/>
      <c r="F98" s="33" t="s">
        <v>69</v>
      </c>
      <c r="G98" s="34" t="s">
        <v>224</v>
      </c>
      <c r="H98" s="34">
        <v>80.0</v>
      </c>
      <c r="I98" s="35">
        <v>80.0</v>
      </c>
      <c r="J98" s="20"/>
      <c r="K98" s="20" t="str">
        <f t="shared" si="1"/>
        <v>紙幣,SSW48,b0,80,80 #千円収納庫ニアフル枚数設定 (10、1の位)  《設定値以上ならニアフル判断》   (設定範囲：0 ～ 99)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31">
        <v>55.0</v>
      </c>
      <c r="D99" s="32" t="s">
        <v>225</v>
      </c>
      <c r="E99" s="32"/>
      <c r="F99" s="33"/>
      <c r="G99" s="34" t="s">
        <v>222</v>
      </c>
      <c r="H99" s="34">
        <v>0.0</v>
      </c>
      <c r="I99" s="35">
        <v>0.0</v>
      </c>
      <c r="J99" s="20"/>
      <c r="K99" s="20" t="str">
        <f t="shared" si="1"/>
        <v>紙幣,SSW55,b0,0,0 #千円残置枚数設定 (100の位) (設定範囲：0 ～ 4)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31">
        <v>56.0</v>
      </c>
      <c r="D100" s="32" t="s">
        <v>226</v>
      </c>
      <c r="E100" s="32"/>
      <c r="F100" s="33"/>
      <c r="G100" s="34" t="s">
        <v>224</v>
      </c>
      <c r="H100" s="34">
        <v>80.0</v>
      </c>
      <c r="I100" s="35">
        <v>0.0</v>
      </c>
      <c r="J100" s="20"/>
      <c r="K100" s="20" t="str">
        <f t="shared" si="1"/>
        <v>紙幣,SSW56,b0,80,0 #千円残置枚数設定 (10、1の位) (設定範囲：0 ～ 99)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31">
        <v>57.0</v>
      </c>
      <c r="D101" s="32" t="s">
        <v>227</v>
      </c>
      <c r="E101" s="32"/>
      <c r="F101" s="33"/>
      <c r="G101" s="34" t="s">
        <v>169</v>
      </c>
      <c r="H101" s="34">
        <v>0.0</v>
      </c>
      <c r="I101" s="35">
        <v>0.0</v>
      </c>
      <c r="J101" s="20"/>
      <c r="K101" s="20" t="str">
        <f t="shared" si="1"/>
        <v>紙幣,SSW57,b0,0,0 #万円収納庫残置基準値設定 (設定範囲：0 ～ 200)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31">
        <v>58.0</v>
      </c>
      <c r="D102" s="32" t="s">
        <v>228</v>
      </c>
      <c r="E102" s="32"/>
      <c r="F102" s="33"/>
      <c r="G102" s="34" t="s">
        <v>169</v>
      </c>
      <c r="H102" s="34">
        <v>10.0</v>
      </c>
      <c r="I102" s="35">
        <v>0.0</v>
      </c>
      <c r="J102" s="20"/>
      <c r="K102" s="20" t="str">
        <f t="shared" si="1"/>
        <v>紙幣,SSW58,b0,10,0 #５千円収納庫残置基準値設定 (設定範囲：0 ～ 200)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31">
        <v>60.0</v>
      </c>
      <c r="D103" s="32" t="s">
        <v>229</v>
      </c>
      <c r="E103" s="32"/>
      <c r="F103" s="33"/>
      <c r="G103" s="34" t="s">
        <v>169</v>
      </c>
      <c r="H103" s="34">
        <v>50.0</v>
      </c>
      <c r="I103" s="35">
        <v>0.0</v>
      </c>
      <c r="J103" s="20"/>
      <c r="K103" s="20" t="str">
        <f t="shared" si="1"/>
        <v>紙幣,SSW60,b0,50,0 #千円収納庫残置基準値設定 (設定範囲：0 ～ 200)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31">
        <v>71.0</v>
      </c>
      <c r="D104" s="32" t="s">
        <v>230</v>
      </c>
      <c r="E104" s="32"/>
      <c r="F104" s="33" t="s">
        <v>220</v>
      </c>
      <c r="G104" s="34" t="s">
        <v>222</v>
      </c>
      <c r="H104" s="34">
        <v>2.0</v>
      </c>
      <c r="I104" s="35">
        <v>2.0</v>
      </c>
      <c r="J104" s="20"/>
      <c r="K104" s="20" t="str">
        <f t="shared" si="1"/>
        <v>紙幣,SSW71,b0,2,2 #千円収納庫フル枚数設定 (100の位)  《設定値を超えて入金された紙幣はカセットへ》   (設定範囲：0 ～ 4)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31">
        <v>72.0</v>
      </c>
      <c r="D105" s="32" t="s">
        <v>231</v>
      </c>
      <c r="E105" s="32"/>
      <c r="F105" s="33" t="s">
        <v>220</v>
      </c>
      <c r="G105" s="34" t="s">
        <v>224</v>
      </c>
      <c r="H105" s="34">
        <v>0.0</v>
      </c>
      <c r="I105" s="35">
        <v>0.0</v>
      </c>
      <c r="J105" s="20"/>
      <c r="K105" s="20" t="str">
        <f t="shared" si="1"/>
        <v>紙幣,SSW72,b0,0,0 #千円収納庫フル枚数設定 (10、1の位)  《設定値を超えて入金された紙幣はカセットへ》   (設定範囲：0 ～ 99)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31">
        <v>73.0</v>
      </c>
      <c r="D106" s="32" t="s">
        <v>232</v>
      </c>
      <c r="E106" s="32"/>
      <c r="F106" s="33" t="s">
        <v>220</v>
      </c>
      <c r="G106" s="34" t="s">
        <v>169</v>
      </c>
      <c r="H106" s="34">
        <v>100.0</v>
      </c>
      <c r="I106" s="35">
        <v>100.0</v>
      </c>
      <c r="J106" s="20"/>
      <c r="K106" s="20" t="str">
        <f t="shared" si="1"/>
        <v>紙幣,SSW73,b0,100,100 #５千円収納庫フル枚数設定  《設定値を超えて入金された紙幣はカセットへ》   (設定範囲：0 ～ 200)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31">
        <v>79.0</v>
      </c>
      <c r="D107" s="37" t="s">
        <v>233</v>
      </c>
      <c r="E107" s="37"/>
      <c r="F107" s="37"/>
      <c r="G107" s="38"/>
      <c r="H107" s="39"/>
      <c r="I107" s="35"/>
      <c r="J107" s="20"/>
      <c r="K107" s="20" t="str">
        <f t="shared" si="1"/>
        <v>#紙幣,SSW79,上位Ｉ／Ｆの機能設定３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40">
        <f t="shared" ref="C108:C115" si="11">C107</f>
        <v>79</v>
      </c>
      <c r="D108" s="31" t="s">
        <v>79</v>
      </c>
      <c r="E108" s="32" t="s">
        <v>234</v>
      </c>
      <c r="F108" s="33" t="s">
        <v>235</v>
      </c>
      <c r="G108" s="34" t="s">
        <v>82</v>
      </c>
      <c r="H108" s="34">
        <v>0.0</v>
      </c>
      <c r="I108" s="35">
        <v>1.0</v>
      </c>
      <c r="J108" s="20"/>
      <c r="K108" s="20" t="str">
        <f t="shared" si="1"/>
        <v>紙幣,SSW79,b0,0,1 #(bit0)回収終了条件  《0:空カセットのセット、1:現行機と同様》   (設定範囲：0,1)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40">
        <f t="shared" si="11"/>
        <v>79</v>
      </c>
      <c r="D109" s="31" t="s">
        <v>83</v>
      </c>
      <c r="E109" s="32" t="s">
        <v>84</v>
      </c>
      <c r="F109" s="33"/>
      <c r="G109" s="34"/>
      <c r="H109" s="34">
        <v>0.0</v>
      </c>
      <c r="I109" s="35">
        <v>0.0</v>
      </c>
      <c r="J109" s="20"/>
      <c r="K109" s="20" t="str">
        <f t="shared" si="1"/>
        <v>紙幣,SSW79,b1,0,0 #(bit1)０固定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40">
        <f t="shared" si="11"/>
        <v>79</v>
      </c>
      <c r="D110" s="31" t="s">
        <v>85</v>
      </c>
      <c r="E110" s="32" t="s">
        <v>84</v>
      </c>
      <c r="F110" s="33"/>
      <c r="G110" s="34"/>
      <c r="H110" s="34">
        <v>0.0</v>
      </c>
      <c r="I110" s="35">
        <v>0.0</v>
      </c>
      <c r="J110" s="20"/>
      <c r="K110" s="20" t="str">
        <f t="shared" si="1"/>
        <v>紙幣,SSW79,b2,0,0 #(bit2)０固定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40">
        <f t="shared" si="11"/>
        <v>79</v>
      </c>
      <c r="D111" s="31" t="s">
        <v>86</v>
      </c>
      <c r="E111" s="32" t="s">
        <v>84</v>
      </c>
      <c r="F111" s="33"/>
      <c r="G111" s="34"/>
      <c r="H111" s="34">
        <v>0.0</v>
      </c>
      <c r="I111" s="35">
        <v>0.0</v>
      </c>
      <c r="J111" s="20"/>
      <c r="K111" s="20" t="str">
        <f t="shared" si="1"/>
        <v>紙幣,SSW79,b3,0,0 #(bit3)０固定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40">
        <f t="shared" si="11"/>
        <v>79</v>
      </c>
      <c r="D112" s="31" t="s">
        <v>87</v>
      </c>
      <c r="E112" s="32" t="s">
        <v>84</v>
      </c>
      <c r="F112" s="33"/>
      <c r="G112" s="34"/>
      <c r="H112" s="34">
        <v>0.0</v>
      </c>
      <c r="I112" s="35">
        <v>0.0</v>
      </c>
      <c r="J112" s="20"/>
      <c r="K112" s="20" t="str">
        <f t="shared" si="1"/>
        <v>紙幣,SSW79,b4,0,0 #(bit4)０固定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40">
        <f t="shared" si="11"/>
        <v>79</v>
      </c>
      <c r="D113" s="31" t="s">
        <v>88</v>
      </c>
      <c r="E113" s="32" t="s">
        <v>84</v>
      </c>
      <c r="F113" s="33"/>
      <c r="G113" s="34"/>
      <c r="H113" s="34">
        <v>0.0</v>
      </c>
      <c r="I113" s="35">
        <v>0.0</v>
      </c>
      <c r="J113" s="20"/>
      <c r="K113" s="20" t="str">
        <f t="shared" si="1"/>
        <v>紙幣,SSW79,b5,0,0 #(bit5)０固定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40">
        <f t="shared" si="11"/>
        <v>79</v>
      </c>
      <c r="D114" s="31" t="s">
        <v>91</v>
      </c>
      <c r="E114" s="32" t="s">
        <v>84</v>
      </c>
      <c r="F114" s="33"/>
      <c r="G114" s="34"/>
      <c r="H114" s="34">
        <v>0.0</v>
      </c>
      <c r="I114" s="35">
        <v>0.0</v>
      </c>
      <c r="J114" s="20"/>
      <c r="K114" s="20" t="str">
        <f t="shared" si="1"/>
        <v>紙幣,SSW79,b6,0,0 #(bit6)０固定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40">
        <f t="shared" si="11"/>
        <v>79</v>
      </c>
      <c r="D115" s="36" t="s">
        <v>92</v>
      </c>
      <c r="E115" s="32" t="s">
        <v>84</v>
      </c>
      <c r="F115" s="33"/>
      <c r="G115" s="34"/>
      <c r="H115" s="34">
        <v>0.0</v>
      </c>
      <c r="I115" s="35">
        <v>0.0</v>
      </c>
      <c r="J115" s="20"/>
      <c r="K115" s="20" t="str">
        <f t="shared" si="1"/>
        <v>紙幣,SSW79,b7,0,0 #(bit7)０固定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48"/>
      <c r="D116" s="48"/>
      <c r="E116" s="37"/>
      <c r="F116" s="49"/>
      <c r="G116" s="48"/>
      <c r="H116" s="48"/>
      <c r="I116" s="5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H1:I1"/>
  </mergeCells>
  <printOptions/>
  <pageMargins bottom="0.5511811023622047" footer="0.0" header="0.0" left="0.31496062992125984" right="0.31496062992125984" top="0.35433070866141736"/>
  <pageSetup paperSize="9" orientation="landscape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.43"/>
    <col customWidth="1" min="3" max="3" width="1.86"/>
    <col customWidth="1" min="4" max="4" width="3.29"/>
    <col customWidth="1" min="5" max="25" width="9.0"/>
    <col customWidth="1" min="26" max="26" width="8.71"/>
  </cols>
  <sheetData>
    <row r="1" ht="14.2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.0" customHeight="1">
      <c r="A2" s="20"/>
      <c r="B2" s="23" t="s">
        <v>236</v>
      </c>
      <c r="C2" s="23"/>
      <c r="D2" s="23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0"/>
      <c r="T2" s="20"/>
      <c r="U2" s="20"/>
      <c r="V2" s="20"/>
      <c r="W2" s="20"/>
      <c r="X2" s="20"/>
      <c r="Y2" s="20"/>
      <c r="Z2" s="20"/>
    </row>
    <row r="3" ht="14.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20"/>
      <c r="B4" s="20"/>
      <c r="C4" s="20"/>
      <c r="D4" s="26" t="s">
        <v>237</v>
      </c>
      <c r="E4" s="26"/>
      <c r="F4" s="26"/>
      <c r="G4" s="26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4.25" customHeight="1">
      <c r="A5" s="20"/>
      <c r="B5" s="20"/>
      <c r="C5" s="20"/>
      <c r="D5" s="20"/>
      <c r="E5" s="20"/>
      <c r="F5" s="20"/>
      <c r="G5" s="20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4.25" customHeight="1">
      <c r="A6" s="20"/>
      <c r="B6" s="20"/>
      <c r="C6" s="20"/>
      <c r="D6" s="20"/>
      <c r="E6" s="20" t="s">
        <v>238</v>
      </c>
      <c r="F6" s="20"/>
      <c r="G6" s="20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4.25" customHeight="1">
      <c r="A7" s="20"/>
      <c r="B7" s="20"/>
      <c r="C7" s="20"/>
      <c r="D7" s="20"/>
      <c r="E7" s="20"/>
      <c r="F7" s="20"/>
      <c r="G7" s="20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4.25" customHeight="1">
      <c r="A8" s="20"/>
      <c r="B8" s="20"/>
      <c r="C8" s="20"/>
      <c r="D8" s="20"/>
      <c r="E8" s="20"/>
      <c r="F8" s="20"/>
      <c r="G8" s="20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4.25" customHeight="1">
      <c r="A9" s="20"/>
      <c r="B9" s="20"/>
      <c r="C9" s="20"/>
      <c r="D9" s="26" t="s">
        <v>239</v>
      </c>
      <c r="E9" s="26"/>
      <c r="F9" s="26"/>
      <c r="G9" s="26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4.2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0"/>
      <c r="B11" s="20"/>
      <c r="C11" s="20"/>
      <c r="D11" s="56" t="s">
        <v>59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20"/>
      <c r="B12" s="20"/>
      <c r="C12" s="20"/>
      <c r="D12" s="58" t="s">
        <v>240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20"/>
      <c r="B13" s="20"/>
      <c r="C13" s="20"/>
      <c r="D13" s="58" t="s">
        <v>241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20"/>
      <c r="B14" s="20"/>
      <c r="C14" s="20"/>
      <c r="D14" s="58" t="s">
        <v>242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20"/>
      <c r="B15" s="20"/>
      <c r="C15" s="20"/>
      <c r="D15" s="58" t="s">
        <v>243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20"/>
      <c r="B16" s="20"/>
      <c r="C16" s="20"/>
      <c r="D16" s="58" t="s">
        <v>244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20"/>
      <c r="B17" s="20"/>
      <c r="C17" s="20"/>
      <c r="D17" s="58" t="s">
        <v>245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20"/>
      <c r="B18" s="20"/>
      <c r="C18" s="20"/>
      <c r="D18" s="58" t="s">
        <v>246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>
      <c r="A19" s="20"/>
      <c r="B19" s="20"/>
      <c r="C19" s="20"/>
      <c r="D19" s="58" t="s">
        <v>247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0"/>
      <c r="C20" s="20"/>
      <c r="D20" s="58" t="s">
        <v>248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0"/>
      <c r="B21" s="20"/>
      <c r="C21" s="20"/>
      <c r="D21" s="58" t="s">
        <v>249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20"/>
      <c r="C22" s="20"/>
      <c r="D22" s="58" t="s">
        <v>250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20"/>
      <c r="C23" s="20"/>
      <c r="D23" s="58" t="s">
        <v>251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20"/>
      <c r="C24" s="20"/>
      <c r="D24" s="58" t="s">
        <v>252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20"/>
      <c r="C25" s="20"/>
      <c r="D25" s="58" t="s">
        <v>253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20"/>
      <c r="C26" s="20"/>
      <c r="D26" s="58" t="s">
        <v>254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58" t="s">
        <v>255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58" t="s">
        <v>256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58" t="s">
        <v>257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58" t="s">
        <v>258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58" t="s">
        <v>259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58" t="s">
        <v>260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20"/>
      <c r="B33" s="20"/>
      <c r="C33" s="20"/>
      <c r="D33" s="58" t="s">
        <v>261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20"/>
      <c r="B34" s="20"/>
      <c r="C34" s="20"/>
      <c r="D34" s="58" t="s">
        <v>262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20"/>
      <c r="B35" s="20"/>
      <c r="C35" s="20"/>
      <c r="D35" s="58" t="s">
        <v>263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20"/>
      <c r="B36" s="20"/>
      <c r="C36" s="20"/>
      <c r="D36" s="58" t="s">
        <v>264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20"/>
      <c r="B37" s="20"/>
      <c r="C37" s="20"/>
      <c r="D37" s="58" t="s">
        <v>265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/>
      <c r="B38" s="20"/>
      <c r="C38" s="20"/>
      <c r="D38" s="58" t="s">
        <v>266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0"/>
      <c r="C39" s="20"/>
      <c r="D39" s="58" t="s">
        <v>267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20"/>
      <c r="B40" s="20"/>
      <c r="C40" s="20"/>
      <c r="D40" s="58" t="s">
        <v>268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20"/>
      <c r="B41" s="20"/>
      <c r="C41" s="20"/>
      <c r="D41" s="58" t="s">
        <v>269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20"/>
      <c r="B42" s="20"/>
      <c r="C42" s="20"/>
      <c r="D42" s="58" t="s">
        <v>270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20"/>
      <c r="B43" s="20"/>
      <c r="C43" s="20"/>
      <c r="D43" s="58" t="s">
        <v>271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20"/>
      <c r="B44" s="20"/>
      <c r="C44" s="20"/>
      <c r="D44" s="58" t="s">
        <v>272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20"/>
      <c r="B45" s="20"/>
      <c r="C45" s="20"/>
      <c r="D45" s="58" t="s">
        <v>273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20"/>
      <c r="B46" s="20"/>
      <c r="C46" s="20"/>
      <c r="D46" s="58" t="s">
        <v>274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0"/>
      <c r="B47" s="20"/>
      <c r="C47" s="20"/>
      <c r="D47" s="58" t="s">
        <v>275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0"/>
      <c r="B48" s="20"/>
      <c r="C48" s="20"/>
      <c r="D48" s="58" t="s">
        <v>276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0"/>
      <c r="B49" s="20"/>
      <c r="C49" s="20"/>
      <c r="D49" s="58" t="s">
        <v>277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0"/>
      <c r="B50" s="20"/>
      <c r="C50" s="20"/>
      <c r="D50" s="58" t="s">
        <v>278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20"/>
      <c r="B51" s="20"/>
      <c r="C51" s="20"/>
      <c r="D51" s="58" t="s">
        <v>279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20"/>
      <c r="B52" s="20"/>
      <c r="C52" s="20"/>
      <c r="D52" s="58" t="s">
        <v>280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20"/>
      <c r="B53" s="20"/>
      <c r="C53" s="20"/>
      <c r="D53" s="58" t="s">
        <v>281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20"/>
      <c r="B54" s="20"/>
      <c r="C54" s="20"/>
      <c r="D54" s="58" t="s">
        <v>282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20"/>
      <c r="B55" s="20"/>
      <c r="C55" s="20"/>
      <c r="D55" s="58" t="s">
        <v>283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20"/>
      <c r="B56" s="20"/>
      <c r="C56" s="20"/>
      <c r="D56" s="58" t="s">
        <v>284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0"/>
      <c r="B57" s="20"/>
      <c r="C57" s="20"/>
      <c r="D57" s="58" t="s">
        <v>285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0"/>
      <c r="B58" s="20"/>
      <c r="C58" s="20"/>
      <c r="D58" s="58" t="s">
        <v>286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20"/>
      <c r="B59" s="20"/>
      <c r="C59" s="20"/>
      <c r="D59" s="58" t="s">
        <v>287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20"/>
      <c r="B60" s="20"/>
      <c r="C60" s="20"/>
      <c r="D60" s="58" t="s">
        <v>288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0"/>
      <c r="B61" s="20"/>
      <c r="C61" s="20"/>
      <c r="D61" s="58" t="s">
        <v>289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20"/>
      <c r="B62" s="20"/>
      <c r="C62" s="20"/>
      <c r="D62" s="58" t="s">
        <v>290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0"/>
      <c r="B63" s="20"/>
      <c r="C63" s="20"/>
      <c r="D63" s="58" t="s">
        <v>291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0"/>
      <c r="B64" s="20"/>
      <c r="C64" s="20"/>
      <c r="D64" s="58" t="s">
        <v>292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0"/>
      <c r="B65" s="20"/>
      <c r="C65" s="20"/>
      <c r="D65" s="58" t="s">
        <v>293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0"/>
      <c r="B66" s="20"/>
      <c r="C66" s="20"/>
      <c r="D66" s="58" t="s">
        <v>294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0"/>
      <c r="B67" s="20"/>
      <c r="C67" s="20"/>
      <c r="D67" s="58" t="s">
        <v>295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0"/>
      <c r="B68" s="20"/>
      <c r="C68" s="20"/>
      <c r="D68" s="58" t="s">
        <v>296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0"/>
      <c r="B69" s="20"/>
      <c r="C69" s="20"/>
      <c r="D69" s="58" t="s">
        <v>297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0"/>
      <c r="B70" s="20"/>
      <c r="C70" s="20"/>
      <c r="D70" s="58" t="s">
        <v>298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0"/>
      <c r="B71" s="20"/>
      <c r="C71" s="20"/>
      <c r="D71" s="58" t="s">
        <v>299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20"/>
      <c r="B72" s="20"/>
      <c r="C72" s="20"/>
      <c r="D72" s="58" t="s">
        <v>300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0"/>
      <c r="B73" s="20"/>
      <c r="C73" s="20"/>
      <c r="D73" s="58" t="s">
        <v>301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0"/>
      <c r="B74" s="20"/>
      <c r="C74" s="20"/>
      <c r="D74" s="58" t="s">
        <v>302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0"/>
      <c r="B75" s="20"/>
      <c r="C75" s="20"/>
      <c r="D75" s="58" t="s">
        <v>303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0"/>
      <c r="B76" s="20"/>
      <c r="C76" s="20"/>
      <c r="D76" s="58" t="s">
        <v>304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0"/>
      <c r="B77" s="20"/>
      <c r="C77" s="20"/>
      <c r="D77" s="58" t="s">
        <v>305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0"/>
      <c r="B78" s="20"/>
      <c r="C78" s="20"/>
      <c r="D78" s="58" t="s">
        <v>306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0"/>
      <c r="B79" s="20"/>
      <c r="C79" s="20"/>
      <c r="D79" s="58" t="s">
        <v>307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0"/>
      <c r="B80" s="20"/>
      <c r="C80" s="20"/>
      <c r="D80" s="58" t="s">
        <v>308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0"/>
      <c r="B81" s="20"/>
      <c r="C81" s="20"/>
      <c r="D81" s="58" t="s">
        <v>309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0"/>
      <c r="B82" s="20"/>
      <c r="C82" s="20"/>
      <c r="D82" s="58" t="s">
        <v>310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0"/>
      <c r="B83" s="20"/>
      <c r="C83" s="20"/>
      <c r="D83" s="58" t="s">
        <v>311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0"/>
      <c r="B84" s="20"/>
      <c r="C84" s="20"/>
      <c r="D84" s="58" t="s">
        <v>312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0"/>
      <c r="B85" s="20"/>
      <c r="C85" s="20"/>
      <c r="D85" s="58" t="s">
        <v>313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0"/>
      <c r="B86" s="20"/>
      <c r="C86" s="20"/>
      <c r="D86" s="58" t="s">
        <v>314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0"/>
      <c r="B87" s="20"/>
      <c r="C87" s="20"/>
      <c r="D87" s="58" t="s">
        <v>315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0"/>
      <c r="B88" s="20"/>
      <c r="C88" s="20"/>
      <c r="D88" s="58" t="s">
        <v>316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0"/>
      <c r="B89" s="20"/>
      <c r="C89" s="20"/>
      <c r="D89" s="58" t="s">
        <v>317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20"/>
      <c r="B90" s="20"/>
      <c r="C90" s="20"/>
      <c r="D90" s="58" t="s">
        <v>318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20"/>
      <c r="B91" s="20"/>
      <c r="C91" s="20"/>
      <c r="D91" s="58" t="s">
        <v>319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20"/>
      <c r="B92" s="20"/>
      <c r="C92" s="20"/>
      <c r="D92" s="58" t="s">
        <v>320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0"/>
      <c r="B93" s="20"/>
      <c r="C93" s="20"/>
      <c r="D93" s="58" t="s">
        <v>321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0"/>
      <c r="B94" s="20"/>
      <c r="C94" s="20"/>
      <c r="D94" s="58" t="s">
        <v>322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20"/>
      <c r="B95" s="20"/>
      <c r="C95" s="20"/>
      <c r="D95" s="58" t="s">
        <v>323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20"/>
      <c r="B96" s="20"/>
      <c r="C96" s="20"/>
      <c r="D96" s="58" t="s">
        <v>324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20"/>
      <c r="B97" s="20"/>
      <c r="C97" s="20"/>
      <c r="D97" s="58" t="s">
        <v>325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20"/>
      <c r="B98" s="20"/>
      <c r="C98" s="20"/>
      <c r="D98" s="58" t="s">
        <v>326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0"/>
      <c r="B99" s="20"/>
      <c r="C99" s="20"/>
      <c r="D99" s="58" t="s">
        <v>327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0"/>
      <c r="B100" s="20"/>
      <c r="C100" s="20"/>
      <c r="D100" s="58" t="s">
        <v>328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20"/>
      <c r="B101" s="20"/>
      <c r="C101" s="20"/>
      <c r="D101" s="58" t="s">
        <v>329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20"/>
      <c r="B102" s="20"/>
      <c r="C102" s="20"/>
      <c r="D102" s="58" t="s">
        <v>330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0"/>
      <c r="B103" s="20"/>
      <c r="C103" s="20"/>
      <c r="D103" s="58" t="s">
        <v>331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0"/>
      <c r="B104" s="20"/>
      <c r="C104" s="20"/>
      <c r="D104" s="58" t="s">
        <v>332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0"/>
      <c r="B105" s="20"/>
      <c r="C105" s="20"/>
      <c r="D105" s="58" t="s">
        <v>333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20"/>
      <c r="B106" s="20"/>
      <c r="C106" s="20"/>
      <c r="D106" s="58" t="s">
        <v>334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20"/>
      <c r="B107" s="20"/>
      <c r="C107" s="20"/>
      <c r="D107" s="58" t="s">
        <v>335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20"/>
      <c r="B108" s="20"/>
      <c r="C108" s="20"/>
      <c r="D108" s="58" t="s">
        <v>336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20"/>
      <c r="B109" s="20"/>
      <c r="C109" s="20"/>
      <c r="D109" s="58" t="s">
        <v>337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20"/>
      <c r="B110" s="20"/>
      <c r="C110" s="20"/>
      <c r="D110" s="58" t="s">
        <v>338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20"/>
      <c r="B111" s="20"/>
      <c r="C111" s="20"/>
      <c r="D111" s="58" t="s">
        <v>339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20"/>
      <c r="B112" s="20"/>
      <c r="C112" s="20"/>
      <c r="D112" s="58" t="s">
        <v>340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0"/>
      <c r="B113" s="20"/>
      <c r="C113" s="20"/>
      <c r="D113" s="58" t="s">
        <v>341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20"/>
      <c r="B114" s="20"/>
      <c r="C114" s="20"/>
      <c r="D114" s="58" t="s">
        <v>342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20"/>
      <c r="B115" s="20"/>
      <c r="C115" s="20"/>
      <c r="D115" s="58" t="s">
        <v>343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20"/>
      <c r="B116" s="20"/>
      <c r="C116" s="20"/>
      <c r="D116" s="58" t="s">
        <v>344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20"/>
      <c r="B117" s="20"/>
      <c r="C117" s="20"/>
      <c r="D117" s="58" t="s">
        <v>345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20"/>
      <c r="B118" s="20"/>
      <c r="C118" s="20"/>
      <c r="D118" s="58" t="s">
        <v>346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20"/>
      <c r="B119" s="20"/>
      <c r="C119" s="20"/>
      <c r="D119" s="58" t="s">
        <v>347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20"/>
      <c r="B120" s="20"/>
      <c r="C120" s="20"/>
      <c r="D120" s="58" t="s">
        <v>348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20"/>
      <c r="B121" s="20"/>
      <c r="C121" s="20"/>
      <c r="D121" s="58" t="s">
        <v>349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0"/>
      <c r="B122" s="20"/>
      <c r="C122" s="20"/>
      <c r="D122" s="58" t="s">
        <v>350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0"/>
      <c r="B123" s="20"/>
      <c r="C123" s="20"/>
      <c r="D123" s="58" t="s">
        <v>351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0"/>
      <c r="B124" s="20"/>
      <c r="C124" s="20"/>
      <c r="D124" s="58" t="s">
        <v>352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0"/>
      <c r="B125" s="20"/>
      <c r="C125" s="20"/>
      <c r="D125" s="58" t="s">
        <v>353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0"/>
      <c r="B126" s="20"/>
      <c r="C126" s="20"/>
      <c r="D126" s="58" t="s">
        <v>354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0"/>
      <c r="B127" s="20"/>
      <c r="C127" s="20"/>
      <c r="D127" s="58" t="s">
        <v>355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0"/>
      <c r="B128" s="20"/>
      <c r="C128" s="20"/>
      <c r="D128" s="58" t="s">
        <v>356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0"/>
      <c r="B129" s="20"/>
      <c r="C129" s="20"/>
      <c r="D129" s="58" t="s">
        <v>357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0"/>
      <c r="B130" s="20"/>
      <c r="C130" s="20"/>
      <c r="D130" s="58" t="s">
        <v>358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0"/>
      <c r="B131" s="20"/>
      <c r="C131" s="20"/>
      <c r="D131" s="58" t="s">
        <v>359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0"/>
      <c r="B132" s="20"/>
      <c r="C132" s="20"/>
      <c r="D132" s="58" t="s">
        <v>360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0"/>
      <c r="B133" s="20"/>
      <c r="C133" s="20"/>
      <c r="D133" s="58" t="s">
        <v>361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0"/>
      <c r="B134" s="20"/>
      <c r="C134" s="20"/>
      <c r="D134" s="58" t="s">
        <v>362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0"/>
      <c r="B135" s="20"/>
      <c r="C135" s="20"/>
      <c r="D135" s="58" t="s">
        <v>363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0"/>
      <c r="B136" s="20"/>
      <c r="C136" s="20"/>
      <c r="D136" s="58" t="s">
        <v>364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0"/>
      <c r="B137" s="20"/>
      <c r="C137" s="20"/>
      <c r="D137" s="58" t="s">
        <v>365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0"/>
      <c r="B138" s="20"/>
      <c r="C138" s="20"/>
      <c r="D138" s="58" t="s">
        <v>366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0"/>
      <c r="B139" s="20"/>
      <c r="C139" s="20"/>
      <c r="D139" s="58" t="s">
        <v>367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0"/>
      <c r="B140" s="20"/>
      <c r="C140" s="20"/>
      <c r="D140" s="58" t="s">
        <v>368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0"/>
      <c r="B141" s="20"/>
      <c r="C141" s="20"/>
      <c r="D141" s="58" t="s">
        <v>369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0"/>
      <c r="B142" s="20"/>
      <c r="C142" s="20"/>
      <c r="D142" s="58" t="s">
        <v>370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0"/>
      <c r="B143" s="20"/>
      <c r="C143" s="20"/>
      <c r="D143" s="58" t="s">
        <v>371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0"/>
      <c r="B144" s="20"/>
      <c r="C144" s="20"/>
      <c r="D144" s="58" t="s">
        <v>372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0"/>
      <c r="B145" s="20"/>
      <c r="C145" s="20"/>
      <c r="D145" s="58" t="s">
        <v>373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0"/>
      <c r="B146" s="20"/>
      <c r="C146" s="20"/>
      <c r="D146" s="58" t="s">
        <v>374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0"/>
      <c r="B147" s="20"/>
      <c r="C147" s="20"/>
      <c r="D147" s="58" t="s">
        <v>375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0"/>
      <c r="B148" s="20"/>
      <c r="C148" s="20"/>
      <c r="D148" s="58" t="s">
        <v>376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0"/>
      <c r="B149" s="20"/>
      <c r="C149" s="20"/>
      <c r="D149" s="58" t="s">
        <v>377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0"/>
      <c r="B150" s="20"/>
      <c r="C150" s="20"/>
      <c r="D150" s="58" t="s">
        <v>378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0"/>
      <c r="B151" s="20"/>
      <c r="C151" s="20"/>
      <c r="D151" s="58" t="s">
        <v>379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0"/>
      <c r="B152" s="20"/>
      <c r="C152" s="20"/>
      <c r="D152" s="58" t="s">
        <v>380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0"/>
      <c r="B153" s="20"/>
      <c r="C153" s="20"/>
      <c r="D153" s="58" t="s">
        <v>381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0"/>
      <c r="B154" s="20"/>
      <c r="C154" s="20"/>
      <c r="D154" s="58" t="s">
        <v>382</v>
      </c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0"/>
      <c r="B155" s="20"/>
      <c r="C155" s="20"/>
      <c r="D155" s="58" t="s">
        <v>383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0"/>
      <c r="B156" s="20"/>
      <c r="C156" s="20"/>
      <c r="D156" s="58" t="s">
        <v>384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0"/>
      <c r="B157" s="20"/>
      <c r="C157" s="20"/>
      <c r="D157" s="58" t="s">
        <v>385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0"/>
      <c r="B158" s="20"/>
      <c r="C158" s="20"/>
      <c r="D158" s="58" t="s">
        <v>386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0"/>
      <c r="B159" s="20"/>
      <c r="C159" s="20"/>
      <c r="D159" s="58" t="s">
        <v>387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0"/>
      <c r="B160" s="20"/>
      <c r="C160" s="20"/>
      <c r="D160" s="58" t="s">
        <v>388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0"/>
      <c r="B161" s="20"/>
      <c r="C161" s="20"/>
      <c r="D161" s="58" t="s">
        <v>389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0"/>
      <c r="B162" s="20"/>
      <c r="C162" s="20"/>
      <c r="D162" s="58" t="s">
        <v>390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0"/>
      <c r="B163" s="20"/>
      <c r="C163" s="20"/>
      <c r="D163" s="58" t="s">
        <v>391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0"/>
      <c r="B164" s="20"/>
      <c r="C164" s="20"/>
      <c r="D164" s="58" t="s">
        <v>392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0"/>
      <c r="B165" s="20"/>
      <c r="C165" s="20"/>
      <c r="D165" s="58" t="s">
        <v>393</v>
      </c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0"/>
      <c r="B166" s="20"/>
      <c r="C166" s="20"/>
      <c r="D166" s="58" t="s">
        <v>394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0"/>
      <c r="B167" s="20"/>
      <c r="C167" s="20"/>
      <c r="D167" s="58" t="s">
        <v>395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0"/>
      <c r="B168" s="20"/>
      <c r="C168" s="20"/>
      <c r="D168" s="58" t="s">
        <v>396</v>
      </c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0"/>
      <c r="B169" s="20"/>
      <c r="C169" s="20"/>
      <c r="D169" s="58" t="s">
        <v>397</v>
      </c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0"/>
      <c r="B170" s="20"/>
      <c r="C170" s="20"/>
      <c r="D170" s="58" t="s">
        <v>398</v>
      </c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0"/>
      <c r="B171" s="20"/>
      <c r="C171" s="20"/>
      <c r="D171" s="58" t="s">
        <v>399</v>
      </c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0"/>
      <c r="B172" s="20"/>
      <c r="C172" s="20"/>
      <c r="D172" s="58" t="s">
        <v>400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0"/>
      <c r="B173" s="20"/>
      <c r="C173" s="20"/>
      <c r="D173" s="58" t="s">
        <v>401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0"/>
      <c r="B174" s="20"/>
      <c r="C174" s="20"/>
      <c r="D174" s="58" t="s">
        <v>402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0"/>
      <c r="B175" s="20"/>
      <c r="C175" s="20"/>
      <c r="D175" s="58" t="s">
        <v>403</v>
      </c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0"/>
      <c r="B176" s="20"/>
      <c r="C176" s="20"/>
      <c r="D176" s="58" t="s">
        <v>404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0"/>
      <c r="B177" s="20"/>
      <c r="C177" s="20"/>
      <c r="D177" s="58" t="s">
        <v>405</v>
      </c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0"/>
      <c r="B178" s="20"/>
      <c r="C178" s="20"/>
      <c r="D178" s="58" t="s">
        <v>406</v>
      </c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0"/>
      <c r="B179" s="20"/>
      <c r="C179" s="20"/>
      <c r="D179" s="58" t="s">
        <v>407</v>
      </c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0"/>
      <c r="B180" s="20"/>
      <c r="C180" s="20"/>
      <c r="D180" s="58" t="s">
        <v>408</v>
      </c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0"/>
      <c r="B181" s="20"/>
      <c r="C181" s="20"/>
      <c r="D181" s="58" t="s">
        <v>409</v>
      </c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0"/>
      <c r="B182" s="20"/>
      <c r="C182" s="20"/>
      <c r="D182" s="58" t="s">
        <v>410</v>
      </c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0"/>
      <c r="B183" s="20"/>
      <c r="C183" s="20"/>
      <c r="D183" s="58" t="s">
        <v>411</v>
      </c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0"/>
      <c r="B184" s="20"/>
      <c r="C184" s="20"/>
      <c r="D184" s="58" t="s">
        <v>412</v>
      </c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0"/>
      <c r="B185" s="20"/>
      <c r="C185" s="20"/>
      <c r="D185" s="58" t="s">
        <v>413</v>
      </c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0"/>
      <c r="B186" s="20"/>
      <c r="C186" s="20"/>
      <c r="D186" s="58" t="s">
        <v>414</v>
      </c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0"/>
      <c r="B187" s="20"/>
      <c r="C187" s="20"/>
      <c r="D187" s="58" t="s">
        <v>415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0"/>
      <c r="B188" s="20"/>
      <c r="C188" s="20"/>
      <c r="D188" s="58" t="s">
        <v>416</v>
      </c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0"/>
      <c r="B189" s="20"/>
      <c r="C189" s="20"/>
      <c r="D189" s="58" t="s">
        <v>417</v>
      </c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0"/>
      <c r="B190" s="20"/>
      <c r="C190" s="20"/>
      <c r="D190" s="58" t="s">
        <v>418</v>
      </c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0"/>
      <c r="B191" s="20"/>
      <c r="C191" s="20"/>
      <c r="D191" s="58" t="s">
        <v>419</v>
      </c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0"/>
      <c r="B192" s="20"/>
      <c r="C192" s="20"/>
      <c r="D192" s="58" t="s">
        <v>420</v>
      </c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0"/>
      <c r="B193" s="20"/>
      <c r="C193" s="20"/>
      <c r="D193" s="58" t="s">
        <v>421</v>
      </c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0"/>
      <c r="B194" s="20"/>
      <c r="C194" s="20"/>
      <c r="D194" s="58" t="s">
        <v>422</v>
      </c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0"/>
      <c r="B195" s="20"/>
      <c r="C195" s="20"/>
      <c r="D195" s="58" t="s">
        <v>423</v>
      </c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0"/>
      <c r="B196" s="20"/>
      <c r="C196" s="20"/>
      <c r="D196" s="58" t="s">
        <v>424</v>
      </c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0"/>
      <c r="B197" s="20"/>
      <c r="C197" s="20"/>
      <c r="D197" s="58" t="s">
        <v>425</v>
      </c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0"/>
      <c r="B198" s="20"/>
      <c r="C198" s="20"/>
      <c r="D198" s="58" t="s">
        <v>426</v>
      </c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0"/>
      <c r="B199" s="20"/>
      <c r="C199" s="20"/>
      <c r="D199" s="58" t="s">
        <v>427</v>
      </c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0"/>
      <c r="B200" s="20"/>
      <c r="C200" s="59"/>
      <c r="D200" s="20" t="s">
        <v>428</v>
      </c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0"/>
      <c r="C201" s="59"/>
      <c r="D201" s="20" t="s">
        <v>429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0"/>
      <c r="C202" s="59"/>
      <c r="D202" s="20" t="s">
        <v>430</v>
      </c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0"/>
      <c r="C203" s="59"/>
      <c r="D203" s="20" t="s">
        <v>431</v>
      </c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0"/>
      <c r="C204" s="59"/>
      <c r="D204" s="20" t="s">
        <v>432</v>
      </c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0"/>
      <c r="C205" s="59"/>
      <c r="D205" s="20" t="s">
        <v>433</v>
      </c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0"/>
      <c r="C206" s="59"/>
      <c r="D206" s="20" t="s">
        <v>434</v>
      </c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0"/>
      <c r="C207" s="59"/>
      <c r="D207" s="20" t="s">
        <v>435</v>
      </c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0"/>
      <c r="C208" s="59"/>
      <c r="D208" s="20" t="s">
        <v>436</v>
      </c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0"/>
      <c r="C209" s="59"/>
      <c r="D209" s="20" t="s">
        <v>437</v>
      </c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0"/>
      <c r="C210" s="59"/>
      <c r="D210" s="20" t="s">
        <v>438</v>
      </c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0"/>
      <c r="C211" s="59"/>
      <c r="D211" s="20" t="s">
        <v>439</v>
      </c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0"/>
      <c r="C212" s="59"/>
      <c r="D212" s="20" t="s">
        <v>440</v>
      </c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0"/>
      <c r="C213" s="59"/>
      <c r="D213" s="20" t="s">
        <v>441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0"/>
      <c r="C214" s="59"/>
      <c r="D214" s="20" t="s">
        <v>442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0"/>
      <c r="C215" s="59"/>
      <c r="D215" s="20" t="s">
        <v>443</v>
      </c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0"/>
      <c r="C216" s="59"/>
      <c r="D216" s="20" t="s">
        <v>444</v>
      </c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0"/>
      <c r="C217" s="59"/>
      <c r="D217" s="20" t="s">
        <v>445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0"/>
      <c r="C218" s="59"/>
      <c r="D218" s="20" t="s">
        <v>446</v>
      </c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0"/>
      <c r="C219" s="59"/>
      <c r="D219" s="20" t="s">
        <v>447</v>
      </c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0"/>
      <c r="C220" s="59"/>
      <c r="D220" s="20" t="s">
        <v>448</v>
      </c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0"/>
      <c r="C221" s="59"/>
      <c r="D221" s="20" t="s">
        <v>449</v>
      </c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0"/>
      <c r="C222" s="59"/>
      <c r="D222" s="20" t="s">
        <v>450</v>
      </c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0"/>
      <c r="C223" s="59"/>
      <c r="D223" s="20" t="s">
        <v>451</v>
      </c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0"/>
      <c r="C224" s="59"/>
      <c r="D224" s="20" t="s">
        <v>452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0"/>
      <c r="C225" s="59"/>
      <c r="D225" s="20" t="s">
        <v>453</v>
      </c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0"/>
      <c r="C226" s="59"/>
      <c r="D226" s="20" t="s">
        <v>454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20"/>
      <c r="B227" s="20"/>
      <c r="C227" s="59"/>
      <c r="D227" s="20" t="s">
        <v>455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20"/>
      <c r="B228" s="20"/>
      <c r="C228" s="59"/>
      <c r="D228" s="20" t="s">
        <v>456</v>
      </c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20"/>
      <c r="B229" s="20"/>
      <c r="C229" s="59"/>
      <c r="D229" s="20" t="s">
        <v>457</v>
      </c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20"/>
      <c r="B230" s="20"/>
      <c r="C230" s="59"/>
      <c r="D230" s="20" t="s">
        <v>458</v>
      </c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20"/>
      <c r="B231" s="20"/>
      <c r="C231" s="59"/>
      <c r="D231" s="20" t="s">
        <v>459</v>
      </c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20"/>
      <c r="B232" s="20"/>
      <c r="C232" s="59"/>
      <c r="D232" s="20" t="s">
        <v>460</v>
      </c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20"/>
      <c r="B233" s="20"/>
      <c r="C233" s="59"/>
      <c r="D233" s="20" t="s">
        <v>461</v>
      </c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20"/>
      <c r="B234" s="20"/>
      <c r="C234" s="59"/>
      <c r="D234" s="20" t="s">
        <v>462</v>
      </c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20"/>
      <c r="B235" s="20"/>
      <c r="C235" s="59"/>
      <c r="D235" s="20" t="s">
        <v>463</v>
      </c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20"/>
      <c r="B236" s="20"/>
      <c r="C236" s="59"/>
      <c r="D236" s="20" t="s">
        <v>464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20"/>
      <c r="B237" s="20"/>
      <c r="C237" s="5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2017-02-20T06:42:45Z</dcterms:created>
  <dc:creator>Yoshikawa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0x0101001F64E37CFC05FA48BFB4FADACB5105E9</vt:lpwstr>
  </property>
</Properties>
</file>