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48.196.61\99_fix管理-vtiジャパン\202609\"/>
    </mc:Choice>
  </mc:AlternateContent>
  <xr:revisionPtr revIDLastSave="0" documentId="13_ncr:1_{AC31D19B-DDE4-458D-97F5-D2115D7728B2}" xr6:coauthVersionLast="47" xr6:coauthVersionMax="47" xr10:uidLastSave="{00000000-0000-0000-0000-000000000000}"/>
  <bookViews>
    <workbookView xWindow="-28920" yWindow="-120" windowWidth="29040" windowHeight="15720" tabRatio="721" activeTab="1" xr2:uid="{00000000-000D-0000-FFFF-FFFF00000000}"/>
  </bookViews>
  <sheets>
    <sheet name="使い方" sheetId="193" r:id="rId1"/>
    <sheet name="派遣管理台帳" sheetId="194" r:id="rId2"/>
    <sheet name="交通費明細" sheetId="190" r:id="rId3"/>
    <sheet name="請求内容入力シート" sheetId="187" r:id="rId4"/>
    <sheet name="SDMINPUT_通常" sheetId="169" r:id="rId5"/>
    <sheet name="SDMINPUT_通常(交通費)" sheetId="5" r:id="rId6"/>
    <sheet name="保守①" sheetId="170" r:id="rId7"/>
    <sheet name="保守②" sheetId="191" r:id="rId8"/>
    <sheet name="保守①(交通費)" sheetId="171" r:id="rId9"/>
    <sheet name="保守②(交通費)" sheetId="192" r:id="rId10"/>
    <sheet name="パラメータ" sheetId="186" r:id="rId11"/>
  </sheets>
  <definedNames>
    <definedName name="_xlnm.Print_Area" localSheetId="4">SDMINPUT_通常!$A$1:$AR$47</definedName>
    <definedName name="_xlnm.Print_Area" localSheetId="5">'SDMINPUT_通常(交通費)'!$A$1:$AR$47</definedName>
    <definedName name="_xlnm.Print_Area" localSheetId="2">交通費明細!$A$1:$I$57</definedName>
    <definedName name="_xlnm.Print_Area" localSheetId="1">派遣管理台帳!$A$1:$AS$70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5" i="194" l="1"/>
  <c r="AS25" i="194" s="1"/>
  <c r="AR24" i="194"/>
  <c r="AS24" i="194" s="1"/>
  <c r="AR23" i="194"/>
  <c r="AS23" i="194" s="1"/>
  <c r="AR22" i="194"/>
  <c r="AS22" i="194" s="1"/>
  <c r="AR21" i="194"/>
  <c r="AS21" i="194" s="1"/>
  <c r="E36" i="192" l="1"/>
  <c r="AA31" i="192"/>
  <c r="Z31" i="192"/>
  <c r="X31" i="192"/>
  <c r="W31" i="192"/>
  <c r="U31" i="192"/>
  <c r="T31" i="192"/>
  <c r="S31" i="192"/>
  <c r="R31" i="192"/>
  <c r="O31" i="192"/>
  <c r="N31" i="192"/>
  <c r="L31" i="192"/>
  <c r="K31" i="192"/>
  <c r="I31" i="192"/>
  <c r="H31" i="192"/>
  <c r="G31" i="192"/>
  <c r="F31" i="192"/>
  <c r="T29" i="192"/>
  <c r="T28" i="192"/>
  <c r="S28" i="192"/>
  <c r="R28" i="192"/>
  <c r="Q28" i="192"/>
  <c r="P28" i="192"/>
  <c r="O28" i="192"/>
  <c r="N28" i="192"/>
  <c r="L28" i="192"/>
  <c r="K28" i="192"/>
  <c r="J28" i="192"/>
  <c r="I28" i="192"/>
  <c r="C29" i="192" s="1"/>
  <c r="C28" i="192"/>
  <c r="AA24" i="192"/>
  <c r="Z24" i="192"/>
  <c r="X24" i="192"/>
  <c r="W24" i="192"/>
  <c r="U24" i="192"/>
  <c r="T24" i="192"/>
  <c r="S24" i="192"/>
  <c r="R24" i="192"/>
  <c r="O24" i="192"/>
  <c r="N24" i="192"/>
  <c r="L24" i="192"/>
  <c r="K24" i="192"/>
  <c r="I24" i="192"/>
  <c r="H24" i="192"/>
  <c r="G24" i="192"/>
  <c r="F24" i="192"/>
  <c r="T22" i="192"/>
  <c r="T21" i="192"/>
  <c r="S21" i="192"/>
  <c r="R21" i="192"/>
  <c r="Q21" i="192"/>
  <c r="P21" i="192"/>
  <c r="O21" i="192"/>
  <c r="N21" i="192"/>
  <c r="L21" i="192"/>
  <c r="K21" i="192"/>
  <c r="J21" i="192"/>
  <c r="I21" i="192"/>
  <c r="C22" i="192" s="1"/>
  <c r="AA17" i="192"/>
  <c r="Z17" i="192"/>
  <c r="X17" i="192"/>
  <c r="W17" i="192"/>
  <c r="U17" i="192"/>
  <c r="T17" i="192"/>
  <c r="S17" i="192"/>
  <c r="R17" i="192"/>
  <c r="O17" i="192"/>
  <c r="N17" i="192"/>
  <c r="L17" i="192"/>
  <c r="K17" i="192"/>
  <c r="I17" i="192"/>
  <c r="H17" i="192"/>
  <c r="G17" i="192"/>
  <c r="F17" i="192"/>
  <c r="T15" i="192"/>
  <c r="C15" i="192"/>
  <c r="T14" i="192"/>
  <c r="S14" i="192"/>
  <c r="R14" i="192"/>
  <c r="Q14" i="192"/>
  <c r="P14" i="192"/>
  <c r="O14" i="192"/>
  <c r="N14" i="192"/>
  <c r="L14" i="192"/>
  <c r="K14" i="192"/>
  <c r="J14" i="192"/>
  <c r="I14" i="192"/>
  <c r="C14" i="192"/>
  <c r="AI7" i="192"/>
  <c r="AI6" i="192"/>
  <c r="AN5" i="192"/>
  <c r="AM5" i="192"/>
  <c r="AL5" i="192"/>
  <c r="AK5" i="192"/>
  <c r="AJ5" i="192"/>
  <c r="AI5" i="192"/>
  <c r="E36" i="171"/>
  <c r="AA31" i="171"/>
  <c r="Z31" i="171"/>
  <c r="X31" i="171"/>
  <c r="W31" i="171"/>
  <c r="U31" i="171"/>
  <c r="T31" i="171"/>
  <c r="S31" i="171"/>
  <c r="R31" i="171"/>
  <c r="O31" i="171"/>
  <c r="N31" i="171"/>
  <c r="L31" i="171"/>
  <c r="K31" i="171"/>
  <c r="I31" i="171"/>
  <c r="H31" i="171"/>
  <c r="G31" i="171"/>
  <c r="F31" i="171"/>
  <c r="T29" i="171"/>
  <c r="C29" i="171"/>
  <c r="T28" i="171"/>
  <c r="S28" i="171"/>
  <c r="R28" i="171"/>
  <c r="Q28" i="171"/>
  <c r="P28" i="171"/>
  <c r="O28" i="171"/>
  <c r="N28" i="171"/>
  <c r="L28" i="171"/>
  <c r="K28" i="171"/>
  <c r="J28" i="171"/>
  <c r="I28" i="171"/>
  <c r="C28" i="171"/>
  <c r="AA24" i="171"/>
  <c r="Z24" i="171"/>
  <c r="X24" i="171"/>
  <c r="W24" i="171"/>
  <c r="U24" i="171"/>
  <c r="T24" i="171"/>
  <c r="S24" i="171"/>
  <c r="R24" i="171"/>
  <c r="O24" i="171"/>
  <c r="N24" i="171"/>
  <c r="L24" i="171"/>
  <c r="K24" i="171"/>
  <c r="I24" i="171"/>
  <c r="H24" i="171"/>
  <c r="G24" i="171"/>
  <c r="F24" i="171"/>
  <c r="T22" i="171"/>
  <c r="C22" i="171"/>
  <c r="T21" i="171"/>
  <c r="S21" i="171"/>
  <c r="R21" i="171"/>
  <c r="Q21" i="171"/>
  <c r="P21" i="171"/>
  <c r="O21" i="171"/>
  <c r="N21" i="171"/>
  <c r="L21" i="171"/>
  <c r="K21" i="171"/>
  <c r="J21" i="171"/>
  <c r="I21" i="171"/>
  <c r="C21" i="171"/>
  <c r="AA17" i="171"/>
  <c r="Z17" i="171"/>
  <c r="X17" i="171"/>
  <c r="W17" i="171"/>
  <c r="U17" i="171"/>
  <c r="T17" i="171"/>
  <c r="S17" i="171"/>
  <c r="R17" i="171"/>
  <c r="O17" i="171"/>
  <c r="N17" i="171"/>
  <c r="L17" i="171"/>
  <c r="K17" i="171"/>
  <c r="I17" i="171"/>
  <c r="H17" i="171"/>
  <c r="G17" i="171"/>
  <c r="F17" i="171"/>
  <c r="T15" i="171"/>
  <c r="C15" i="171"/>
  <c r="T14" i="171"/>
  <c r="S14" i="171"/>
  <c r="R14" i="171"/>
  <c r="Q14" i="171"/>
  <c r="P14" i="171"/>
  <c r="O14" i="171"/>
  <c r="N14" i="171"/>
  <c r="L14" i="171"/>
  <c r="K14" i="171"/>
  <c r="J14" i="171"/>
  <c r="I14" i="171"/>
  <c r="C14" i="171"/>
  <c r="AI7" i="171"/>
  <c r="AI6" i="171"/>
  <c r="AN5" i="171"/>
  <c r="AM5" i="171"/>
  <c r="AL5" i="171"/>
  <c r="AK5" i="171"/>
  <c r="AJ5" i="171"/>
  <c r="AI5" i="171"/>
  <c r="E36" i="191"/>
  <c r="AA31" i="191"/>
  <c r="Z31" i="191"/>
  <c r="X31" i="191"/>
  <c r="W31" i="191"/>
  <c r="U31" i="191"/>
  <c r="T31" i="191"/>
  <c r="S31" i="191"/>
  <c r="R31" i="191"/>
  <c r="O31" i="191"/>
  <c r="N31" i="191"/>
  <c r="L31" i="191"/>
  <c r="K31" i="191"/>
  <c r="I31" i="191"/>
  <c r="H31" i="191"/>
  <c r="G31" i="191"/>
  <c r="F31" i="191"/>
  <c r="AP29" i="191"/>
  <c r="AO29" i="191"/>
  <c r="AN29" i="191"/>
  <c r="AM29" i="191"/>
  <c r="AL29" i="191"/>
  <c r="AK29" i="191"/>
  <c r="AJ29" i="191"/>
  <c r="AI29" i="191"/>
  <c r="T29" i="191"/>
  <c r="T28" i="191"/>
  <c r="S28" i="191"/>
  <c r="R28" i="191"/>
  <c r="Q28" i="191"/>
  <c r="P28" i="191"/>
  <c r="O28" i="191"/>
  <c r="N28" i="191"/>
  <c r="L28" i="191"/>
  <c r="K28" i="191"/>
  <c r="J28" i="191"/>
  <c r="I28" i="191"/>
  <c r="C29" i="191" s="1"/>
  <c r="AA24" i="191"/>
  <c r="Z24" i="191"/>
  <c r="X24" i="191"/>
  <c r="W24" i="191"/>
  <c r="U24" i="191"/>
  <c r="T24" i="191"/>
  <c r="S24" i="191"/>
  <c r="R24" i="191"/>
  <c r="O24" i="191"/>
  <c r="N24" i="191"/>
  <c r="L24" i="191"/>
  <c r="K24" i="191"/>
  <c r="I24" i="191"/>
  <c r="H24" i="191"/>
  <c r="G24" i="191"/>
  <c r="F24" i="191"/>
  <c r="AP23" i="191"/>
  <c r="AO23" i="191"/>
  <c r="AN23" i="191"/>
  <c r="AM23" i="191"/>
  <c r="AP22" i="191"/>
  <c r="AO22" i="191"/>
  <c r="AN22" i="191"/>
  <c r="AM22" i="191"/>
  <c r="AL22" i="191"/>
  <c r="AK22" i="191"/>
  <c r="AJ22" i="191"/>
  <c r="AI22" i="191"/>
  <c r="T22" i="191"/>
  <c r="C22" i="191"/>
  <c r="T21" i="191"/>
  <c r="S21" i="191"/>
  <c r="R21" i="191"/>
  <c r="Q21" i="191"/>
  <c r="P21" i="191"/>
  <c r="O21" i="191"/>
  <c r="N21" i="191"/>
  <c r="L21" i="191"/>
  <c r="K21" i="191"/>
  <c r="J21" i="191"/>
  <c r="I21" i="191"/>
  <c r="C21" i="191"/>
  <c r="AJ17" i="191"/>
  <c r="AI17" i="191"/>
  <c r="AA17" i="191"/>
  <c r="Z17" i="191"/>
  <c r="X17" i="191"/>
  <c r="W17" i="191"/>
  <c r="U17" i="191"/>
  <c r="T17" i="191"/>
  <c r="S17" i="191"/>
  <c r="R17" i="191"/>
  <c r="O17" i="191"/>
  <c r="N17" i="191"/>
  <c r="L17" i="191"/>
  <c r="K17" i="191"/>
  <c r="I17" i="191"/>
  <c r="H17" i="191"/>
  <c r="G17" i="191"/>
  <c r="F17" i="191"/>
  <c r="AJ16" i="191"/>
  <c r="AI16" i="191"/>
  <c r="AP15" i="191"/>
  <c r="AO15" i="191"/>
  <c r="AN15" i="191"/>
  <c r="AM15" i="191"/>
  <c r="AL15" i="191"/>
  <c r="AK15" i="191"/>
  <c r="AJ15" i="191"/>
  <c r="AI15" i="191"/>
  <c r="T15" i="191"/>
  <c r="T14" i="191"/>
  <c r="S14" i="191"/>
  <c r="R14" i="191"/>
  <c r="Q14" i="191"/>
  <c r="P14" i="191"/>
  <c r="O14" i="191"/>
  <c r="N14" i="191"/>
  <c r="L14" i="191"/>
  <c r="K14" i="191"/>
  <c r="J14" i="191"/>
  <c r="I14" i="191"/>
  <c r="C15" i="191" s="1"/>
  <c r="AI7" i="191"/>
  <c r="AI6" i="191"/>
  <c r="AN5" i="191"/>
  <c r="AM5" i="191"/>
  <c r="AL5" i="191"/>
  <c r="AK5" i="191"/>
  <c r="AJ5" i="191"/>
  <c r="AI5" i="191"/>
  <c r="E36" i="170"/>
  <c r="AA31" i="170"/>
  <c r="Z31" i="170"/>
  <c r="X31" i="170"/>
  <c r="W31" i="170"/>
  <c r="U31" i="170"/>
  <c r="T31" i="170"/>
  <c r="S31" i="170"/>
  <c r="R31" i="170"/>
  <c r="O31" i="170"/>
  <c r="N31" i="170"/>
  <c r="L31" i="170"/>
  <c r="K31" i="170"/>
  <c r="I31" i="170"/>
  <c r="H31" i="170"/>
  <c r="G31" i="170"/>
  <c r="F31" i="170"/>
  <c r="AP29" i="170"/>
  <c r="AO29" i="170"/>
  <c r="AN29" i="170"/>
  <c r="AM29" i="170"/>
  <c r="AL29" i="170"/>
  <c r="AK29" i="170"/>
  <c r="AJ29" i="170"/>
  <c r="AI29" i="170"/>
  <c r="T29" i="170"/>
  <c r="C29" i="170"/>
  <c r="T28" i="170"/>
  <c r="S28" i="170"/>
  <c r="R28" i="170"/>
  <c r="Q28" i="170"/>
  <c r="P28" i="170"/>
  <c r="O28" i="170"/>
  <c r="N28" i="170"/>
  <c r="L28" i="170"/>
  <c r="K28" i="170"/>
  <c r="J28" i="170"/>
  <c r="I28" i="170"/>
  <c r="C28" i="170"/>
  <c r="AP24" i="170"/>
  <c r="AO24" i="170"/>
  <c r="AN24" i="170"/>
  <c r="AA24" i="170"/>
  <c r="Z24" i="170"/>
  <c r="X24" i="170"/>
  <c r="W24" i="170"/>
  <c r="U24" i="170"/>
  <c r="T24" i="170"/>
  <c r="S24" i="170"/>
  <c r="R24" i="170"/>
  <c r="O24" i="170"/>
  <c r="N24" i="170"/>
  <c r="L24" i="170"/>
  <c r="K24" i="170"/>
  <c r="I24" i="170"/>
  <c r="H24" i="170"/>
  <c r="G24" i="170"/>
  <c r="F24" i="170"/>
  <c r="AP23" i="170"/>
  <c r="AO23" i="170"/>
  <c r="AN23" i="170"/>
  <c r="AM23" i="170"/>
  <c r="AP22" i="170"/>
  <c r="AO22" i="170"/>
  <c r="AN22" i="170"/>
  <c r="AM22" i="170"/>
  <c r="AL22" i="170"/>
  <c r="AK22" i="170"/>
  <c r="AJ22" i="170"/>
  <c r="AI22" i="170"/>
  <c r="T22" i="170"/>
  <c r="C22" i="170"/>
  <c r="T21" i="170"/>
  <c r="S21" i="170"/>
  <c r="R21" i="170"/>
  <c r="Q21" i="170"/>
  <c r="P21" i="170"/>
  <c r="O21" i="170"/>
  <c r="N21" i="170"/>
  <c r="L21" i="170"/>
  <c r="K21" i="170"/>
  <c r="J21" i="170"/>
  <c r="I21" i="170"/>
  <c r="C21" i="170"/>
  <c r="AA17" i="170"/>
  <c r="Z17" i="170"/>
  <c r="X17" i="170"/>
  <c r="W17" i="170"/>
  <c r="U17" i="170"/>
  <c r="T17" i="170"/>
  <c r="S17" i="170"/>
  <c r="R17" i="170"/>
  <c r="O17" i="170"/>
  <c r="N17" i="170"/>
  <c r="L17" i="170"/>
  <c r="K17" i="170"/>
  <c r="I17" i="170"/>
  <c r="H17" i="170"/>
  <c r="G17" i="170"/>
  <c r="F17" i="170"/>
  <c r="AM16" i="170"/>
  <c r="AL16" i="170"/>
  <c r="AK16" i="170"/>
  <c r="AJ16" i="170"/>
  <c r="AI16" i="170"/>
  <c r="AP15" i="170"/>
  <c r="AO15" i="170"/>
  <c r="AN15" i="170"/>
  <c r="AM15" i="170"/>
  <c r="AL15" i="170"/>
  <c r="AK15" i="170"/>
  <c r="AJ15" i="170"/>
  <c r="AI15" i="170"/>
  <c r="T15" i="170"/>
  <c r="C15" i="170"/>
  <c r="T14" i="170"/>
  <c r="S14" i="170"/>
  <c r="R14" i="170"/>
  <c r="Q14" i="170"/>
  <c r="P14" i="170"/>
  <c r="O14" i="170"/>
  <c r="N14" i="170"/>
  <c r="L14" i="170"/>
  <c r="K14" i="170"/>
  <c r="J14" i="170"/>
  <c r="I14" i="170"/>
  <c r="C14" i="170"/>
  <c r="AI7" i="170"/>
  <c r="AI6" i="170"/>
  <c r="AN5" i="170"/>
  <c r="AM5" i="170"/>
  <c r="AL5" i="170"/>
  <c r="AK5" i="170"/>
  <c r="AJ5" i="170"/>
  <c r="AI5" i="170"/>
  <c r="AK44" i="5"/>
  <c r="E42" i="5"/>
  <c r="AR29" i="5"/>
  <c r="AQ29" i="5"/>
  <c r="AP29" i="5"/>
  <c r="AO29" i="5"/>
  <c r="AN29" i="5"/>
  <c r="AM29" i="5"/>
  <c r="AL29" i="5"/>
  <c r="AK29" i="5"/>
  <c r="AP27" i="5"/>
  <c r="R27" i="5"/>
  <c r="G27" i="5"/>
  <c r="R26" i="5"/>
  <c r="Q26" i="5"/>
  <c r="P26" i="5"/>
  <c r="O26" i="5"/>
  <c r="N26" i="5"/>
  <c r="M26" i="5"/>
  <c r="L26" i="5"/>
  <c r="J26" i="5"/>
  <c r="I26" i="5"/>
  <c r="H26" i="5"/>
  <c r="G26" i="5"/>
  <c r="C26" i="5" s="1"/>
  <c r="R25" i="5"/>
  <c r="G25" i="5"/>
  <c r="R24" i="5"/>
  <c r="Q24" i="5"/>
  <c r="P24" i="5"/>
  <c r="O24" i="5"/>
  <c r="N24" i="5"/>
  <c r="M24" i="5"/>
  <c r="L24" i="5"/>
  <c r="J24" i="5"/>
  <c r="I24" i="5"/>
  <c r="H24" i="5"/>
  <c r="G24" i="5"/>
  <c r="C24" i="5" s="1"/>
  <c r="AP23" i="5"/>
  <c r="AO23" i="5"/>
  <c r="AN23" i="5"/>
  <c r="AM23" i="5"/>
  <c r="AL23" i="5"/>
  <c r="AK23" i="5"/>
  <c r="R23" i="5"/>
  <c r="G23" i="5"/>
  <c r="R22" i="5"/>
  <c r="Q22" i="5"/>
  <c r="P22" i="5"/>
  <c r="O22" i="5"/>
  <c r="N22" i="5"/>
  <c r="M22" i="5"/>
  <c r="L22" i="5"/>
  <c r="J22" i="5"/>
  <c r="I22" i="5"/>
  <c r="H22" i="5"/>
  <c r="G22" i="5"/>
  <c r="C22" i="5" s="1"/>
  <c r="AK21" i="5"/>
  <c r="R21" i="5"/>
  <c r="G21" i="5"/>
  <c r="R20" i="5"/>
  <c r="Q20" i="5"/>
  <c r="P20" i="5"/>
  <c r="O20" i="5"/>
  <c r="N20" i="5"/>
  <c r="M20" i="5"/>
  <c r="L20" i="5"/>
  <c r="J20" i="5"/>
  <c r="I20" i="5"/>
  <c r="H20" i="5"/>
  <c r="G20" i="5"/>
  <c r="C20" i="5" s="1"/>
  <c r="R19" i="5"/>
  <c r="G19" i="5"/>
  <c r="R18" i="5"/>
  <c r="Q18" i="5"/>
  <c r="P18" i="5"/>
  <c r="O18" i="5"/>
  <c r="N18" i="5"/>
  <c r="M18" i="5"/>
  <c r="L18" i="5"/>
  <c r="J18" i="5"/>
  <c r="I18" i="5"/>
  <c r="H18" i="5"/>
  <c r="G18" i="5"/>
  <c r="C18" i="5"/>
  <c r="AR17" i="5"/>
  <c r="AQ17" i="5"/>
  <c r="AP17" i="5"/>
  <c r="R17" i="5"/>
  <c r="G17" i="5"/>
  <c r="R16" i="5"/>
  <c r="Q16" i="5"/>
  <c r="P16" i="5"/>
  <c r="O16" i="5"/>
  <c r="N16" i="5"/>
  <c r="M16" i="5"/>
  <c r="L16" i="5"/>
  <c r="J16" i="5"/>
  <c r="I16" i="5"/>
  <c r="H16" i="5"/>
  <c r="G16" i="5"/>
  <c r="C16" i="5"/>
  <c r="R15" i="5"/>
  <c r="G15" i="5"/>
  <c r="R14" i="5"/>
  <c r="Q14" i="5"/>
  <c r="P14" i="5"/>
  <c r="O14" i="5"/>
  <c r="N14" i="5"/>
  <c r="M14" i="5"/>
  <c r="L14" i="5"/>
  <c r="J14" i="5"/>
  <c r="I14" i="5"/>
  <c r="H14" i="5"/>
  <c r="G14" i="5"/>
  <c r="C14" i="5" s="1"/>
  <c r="AK7" i="5"/>
  <c r="AK6" i="5"/>
  <c r="AP5" i="5"/>
  <c r="AO5" i="5"/>
  <c r="AN5" i="5"/>
  <c r="AM5" i="5"/>
  <c r="AL5" i="5"/>
  <c r="AK5" i="5"/>
  <c r="AI1" i="5"/>
  <c r="AI48" i="5" s="1"/>
  <c r="AK44" i="169"/>
  <c r="E42" i="169"/>
  <c r="R27" i="169"/>
  <c r="G27" i="169"/>
  <c r="R26" i="169"/>
  <c r="Q26" i="169"/>
  <c r="P26" i="169"/>
  <c r="O26" i="169"/>
  <c r="N26" i="169"/>
  <c r="M26" i="169"/>
  <c r="L26" i="169"/>
  <c r="J26" i="169"/>
  <c r="I26" i="169"/>
  <c r="H26" i="169"/>
  <c r="G26" i="169"/>
  <c r="C26" i="169" s="1"/>
  <c r="R25" i="169"/>
  <c r="G25" i="169"/>
  <c r="R24" i="169"/>
  <c r="Q24" i="169"/>
  <c r="P24" i="169"/>
  <c r="O24" i="169"/>
  <c r="N24" i="169"/>
  <c r="M24" i="169"/>
  <c r="L24" i="169"/>
  <c r="J24" i="169"/>
  <c r="I24" i="169"/>
  <c r="H24" i="169"/>
  <c r="G24" i="169"/>
  <c r="C24" i="169" s="1"/>
  <c r="R23" i="169"/>
  <c r="G23" i="169"/>
  <c r="R22" i="169"/>
  <c r="Q22" i="169"/>
  <c r="P22" i="169"/>
  <c r="O22" i="169"/>
  <c r="N22" i="169"/>
  <c r="M22" i="169"/>
  <c r="L22" i="169"/>
  <c r="J22" i="169"/>
  <c r="I22" i="169"/>
  <c r="H22" i="169"/>
  <c r="G22" i="169"/>
  <c r="C22" i="169"/>
  <c r="R21" i="169"/>
  <c r="G21" i="169"/>
  <c r="R20" i="169"/>
  <c r="Q20" i="169"/>
  <c r="P20" i="169"/>
  <c r="O20" i="169"/>
  <c r="N20" i="169"/>
  <c r="M20" i="169"/>
  <c r="L20" i="169"/>
  <c r="J20" i="169"/>
  <c r="I20" i="169"/>
  <c r="H20" i="169"/>
  <c r="G20" i="169"/>
  <c r="C20" i="169"/>
  <c r="AR19" i="169"/>
  <c r="AQ19" i="169"/>
  <c r="AP19" i="169"/>
  <c r="AO19" i="169"/>
  <c r="AN19" i="169"/>
  <c r="AM19" i="169"/>
  <c r="AL19" i="169"/>
  <c r="AK19" i="169"/>
  <c r="R19" i="169"/>
  <c r="G19" i="169"/>
  <c r="R18" i="169"/>
  <c r="Q18" i="169"/>
  <c r="P18" i="169"/>
  <c r="O18" i="169"/>
  <c r="N18" i="169"/>
  <c r="M18" i="169"/>
  <c r="L18" i="169"/>
  <c r="J18" i="169"/>
  <c r="I18" i="169"/>
  <c r="H18" i="169"/>
  <c r="G18" i="169"/>
  <c r="C18" i="169"/>
  <c r="AR17" i="169"/>
  <c r="AQ17" i="169"/>
  <c r="AP17" i="169"/>
  <c r="AO17" i="169"/>
  <c r="AN17" i="169"/>
  <c r="AM17" i="169"/>
  <c r="AL17" i="169"/>
  <c r="AK17" i="169"/>
  <c r="R17" i="169"/>
  <c r="G17" i="169"/>
  <c r="R16" i="169"/>
  <c r="Q16" i="169"/>
  <c r="P16" i="169"/>
  <c r="O16" i="169"/>
  <c r="N16" i="169"/>
  <c r="M16" i="169"/>
  <c r="L16" i="169"/>
  <c r="J16" i="169"/>
  <c r="I16" i="169"/>
  <c r="H16" i="169"/>
  <c r="G16" i="169"/>
  <c r="C16" i="169" s="1"/>
  <c r="C14" i="169"/>
  <c r="AK7" i="169"/>
  <c r="AK6" i="169"/>
  <c r="AP5" i="169"/>
  <c r="AO5" i="169"/>
  <c r="AN5" i="169"/>
  <c r="AM5" i="169"/>
  <c r="AL5" i="169"/>
  <c r="AK5" i="169"/>
  <c r="AI1" i="169"/>
  <c r="AI48" i="169" s="1"/>
  <c r="J31" i="187"/>
  <c r="F31" i="187"/>
  <c r="B31" i="187"/>
  <c r="J30" i="187"/>
  <c r="F30" i="187" s="1"/>
  <c r="B30" i="187"/>
  <c r="J29" i="187"/>
  <c r="F29" i="187" s="1"/>
  <c r="B29" i="187"/>
  <c r="J28" i="187"/>
  <c r="G28" i="187"/>
  <c r="AP16" i="192" s="1"/>
  <c r="F28" i="187"/>
  <c r="AM15" i="192" s="1"/>
  <c r="B28" i="187"/>
  <c r="J27" i="187"/>
  <c r="F27" i="187" s="1"/>
  <c r="B27" i="187"/>
  <c r="P26" i="187"/>
  <c r="R26" i="187" s="1"/>
  <c r="J26" i="187"/>
  <c r="F26" i="187" s="1"/>
  <c r="B26" i="187"/>
  <c r="P25" i="187"/>
  <c r="J25" i="187"/>
  <c r="F25" i="187"/>
  <c r="AP15" i="171" s="1"/>
  <c r="B25" i="187"/>
  <c r="J24" i="187"/>
  <c r="F24" i="187"/>
  <c r="AO27" i="5" s="1"/>
  <c r="B24" i="187"/>
  <c r="J23" i="187"/>
  <c r="F23" i="187" s="1"/>
  <c r="B23" i="187"/>
  <c r="J22" i="187"/>
  <c r="F22" i="187"/>
  <c r="AQ23" i="5" s="1"/>
  <c r="B22" i="187"/>
  <c r="J21" i="187"/>
  <c r="F21" i="187"/>
  <c r="AO21" i="5" s="1"/>
  <c r="B21" i="187"/>
  <c r="J20" i="187"/>
  <c r="F20" i="187" s="1"/>
  <c r="B20" i="187"/>
  <c r="J19" i="187"/>
  <c r="F19" i="187"/>
  <c r="AK17" i="5" s="1"/>
  <c r="B19" i="187"/>
  <c r="J18" i="187"/>
  <c r="F18" i="187" s="1"/>
  <c r="B18" i="187"/>
  <c r="G17" i="187"/>
  <c r="H17" i="187" s="1"/>
  <c r="B17" i="187"/>
  <c r="H16" i="187"/>
  <c r="AK31" i="191" s="1"/>
  <c r="G16" i="187"/>
  <c r="AK30" i="191" s="1"/>
  <c r="B16" i="187"/>
  <c r="G15" i="187"/>
  <c r="AL23" i="191" s="1"/>
  <c r="B15" i="187"/>
  <c r="H14" i="187"/>
  <c r="AK17" i="191" s="1"/>
  <c r="G14" i="187"/>
  <c r="AK16" i="191" s="1"/>
  <c r="B14" i="187"/>
  <c r="Q13" i="187"/>
  <c r="O13" i="187"/>
  <c r="G13" i="187"/>
  <c r="AN30" i="170" s="1"/>
  <c r="B13" i="187"/>
  <c r="H12" i="187"/>
  <c r="AM24" i="170" s="1"/>
  <c r="G12" i="187"/>
  <c r="AL23" i="170" s="1"/>
  <c r="B12" i="187"/>
  <c r="G11" i="187"/>
  <c r="AN16" i="170" s="1"/>
  <c r="B11" i="187"/>
  <c r="F10" i="187"/>
  <c r="AR27" i="169" s="1"/>
  <c r="B10" i="187"/>
  <c r="F9" i="187"/>
  <c r="AQ25" i="169" s="1"/>
  <c r="B9" i="187"/>
  <c r="F8" i="187"/>
  <c r="AO23" i="169" s="1"/>
  <c r="B8" i="187"/>
  <c r="F7" i="187"/>
  <c r="AM21" i="169" s="1"/>
  <c r="B7" i="187"/>
  <c r="P4" i="187"/>
  <c r="P3" i="187"/>
  <c r="B4" i="187" s="1"/>
  <c r="J3" i="187"/>
  <c r="I47" i="190"/>
  <c r="I45" i="190"/>
  <c r="I43" i="190"/>
  <c r="I41" i="190"/>
  <c r="I39" i="190"/>
  <c r="I37" i="190"/>
  <c r="I35" i="190"/>
  <c r="I33" i="190"/>
  <c r="I31" i="190"/>
  <c r="I29" i="190"/>
  <c r="I27" i="190"/>
  <c r="I25" i="190"/>
  <c r="I23" i="190"/>
  <c r="I21" i="190"/>
  <c r="I19" i="190"/>
  <c r="I17" i="190"/>
  <c r="I15" i="190"/>
  <c r="I13" i="190"/>
  <c r="I11" i="190"/>
  <c r="I9" i="190"/>
  <c r="I8" i="190"/>
  <c r="I7" i="190"/>
  <c r="I49" i="190" s="1"/>
  <c r="F3" i="190"/>
  <c r="W66" i="194"/>
  <c r="V65" i="194"/>
  <c r="U65" i="194"/>
  <c r="T65" i="194"/>
  <c r="S65" i="194"/>
  <c r="R65" i="194"/>
  <c r="Q65" i="194"/>
  <c r="P65" i="194"/>
  <c r="O65" i="194"/>
  <c r="K65" i="194"/>
  <c r="J65" i="194"/>
  <c r="I65" i="194"/>
  <c r="H65" i="194"/>
  <c r="G65" i="194"/>
  <c r="W64" i="194"/>
  <c r="AA63" i="194"/>
  <c r="AA60" i="194"/>
  <c r="Q58" i="194"/>
  <c r="Q57" i="194"/>
  <c r="Q56" i="194"/>
  <c r="AR55" i="194"/>
  <c r="Q55" i="194"/>
  <c r="AE54" i="194"/>
  <c r="AR54" i="194" s="1"/>
  <c r="Q54" i="194"/>
  <c r="AE53" i="194"/>
  <c r="AR53" i="194" s="1"/>
  <c r="AE52" i="194"/>
  <c r="AR52" i="194" s="1"/>
  <c r="AR51" i="194"/>
  <c r="AR50" i="194"/>
  <c r="AA50" i="194"/>
  <c r="T50" i="194"/>
  <c r="F50" i="194"/>
  <c r="E50" i="194"/>
  <c r="AE49" i="194"/>
  <c r="AR49" i="194" s="1"/>
  <c r="AR48" i="194"/>
  <c r="AE48" i="194"/>
  <c r="AR47" i="194"/>
  <c r="AR46" i="194"/>
  <c r="AR45" i="194"/>
  <c r="U45" i="194"/>
  <c r="T45" i="194"/>
  <c r="AZ44" i="194"/>
  <c r="AY44" i="194"/>
  <c r="R44" i="194" s="1"/>
  <c r="AW44" i="194"/>
  <c r="P44" i="194" s="1"/>
  <c r="AE44" i="194"/>
  <c r="AR44" i="194" s="1"/>
  <c r="S44" i="194"/>
  <c r="G44" i="194"/>
  <c r="AU44" i="194" s="1"/>
  <c r="AZ43" i="194"/>
  <c r="AY43" i="194"/>
  <c r="R43" i="194" s="1"/>
  <c r="AW43" i="194"/>
  <c r="P43" i="194" s="1"/>
  <c r="AU43" i="194"/>
  <c r="AV43" i="194" s="1"/>
  <c r="O43" i="194" s="1"/>
  <c r="AE43" i="194"/>
  <c r="AR43" i="194" s="1"/>
  <c r="S43" i="194"/>
  <c r="AZ42" i="194"/>
  <c r="AY42" i="194"/>
  <c r="AW42" i="194"/>
  <c r="P42" i="194" s="1"/>
  <c r="AU42" i="194"/>
  <c r="AX42" i="194" s="1"/>
  <c r="Q42" i="194" s="1"/>
  <c r="R42" i="194"/>
  <c r="AZ41" i="194"/>
  <c r="AY41" i="194"/>
  <c r="R41" i="194" s="1"/>
  <c r="AW41" i="194"/>
  <c r="P41" i="194" s="1"/>
  <c r="AU41" i="194"/>
  <c r="AX41" i="194" s="1"/>
  <c r="Q41" i="194" s="1"/>
  <c r="AZ40" i="194"/>
  <c r="AY40" i="194"/>
  <c r="R40" i="194" s="1"/>
  <c r="AW40" i="194"/>
  <c r="P40" i="194" s="1"/>
  <c r="AU40" i="194"/>
  <c r="AV40" i="194" s="1"/>
  <c r="O40" i="194" s="1"/>
  <c r="AZ39" i="194"/>
  <c r="AY39" i="194"/>
  <c r="AW39" i="194"/>
  <c r="P39" i="194" s="1"/>
  <c r="AU39" i="194"/>
  <c r="AX39" i="194" s="1"/>
  <c r="Q39" i="194" s="1"/>
  <c r="R39" i="194"/>
  <c r="AZ38" i="194"/>
  <c r="AY38" i="194"/>
  <c r="R38" i="194" s="1"/>
  <c r="AW38" i="194"/>
  <c r="P38" i="194" s="1"/>
  <c r="AU38" i="194"/>
  <c r="AX38" i="194" s="1"/>
  <c r="Q38" i="194" s="1"/>
  <c r="AZ37" i="194"/>
  <c r="AY37" i="194"/>
  <c r="R37" i="194" s="1"/>
  <c r="AW37" i="194"/>
  <c r="P37" i="194" s="1"/>
  <c r="AU37" i="194"/>
  <c r="AV37" i="194" s="1"/>
  <c r="O37" i="194" s="1"/>
  <c r="AR37" i="194"/>
  <c r="S37" i="194"/>
  <c r="AZ36" i="194"/>
  <c r="AY36" i="194"/>
  <c r="R36" i="194" s="1"/>
  <c r="AW36" i="194"/>
  <c r="P36" i="194" s="1"/>
  <c r="AU36" i="194"/>
  <c r="AV36" i="194" s="1"/>
  <c r="O36" i="194" s="1"/>
  <c r="AR36" i="194"/>
  <c r="S36" i="194"/>
  <c r="AZ35" i="194"/>
  <c r="AY35" i="194"/>
  <c r="R35" i="194" s="1"/>
  <c r="AW35" i="194"/>
  <c r="P35" i="194" s="1"/>
  <c r="AU35" i="194"/>
  <c r="AX35" i="194" s="1"/>
  <c r="Q35" i="194" s="1"/>
  <c r="AZ34" i="194"/>
  <c r="AY34" i="194"/>
  <c r="R34" i="194" s="1"/>
  <c r="AW34" i="194"/>
  <c r="P34" i="194" s="1"/>
  <c r="AU34" i="194"/>
  <c r="AV34" i="194" s="1"/>
  <c r="O34" i="194" s="1"/>
  <c r="AZ33" i="194"/>
  <c r="AY33" i="194"/>
  <c r="R33" i="194" s="1"/>
  <c r="AW33" i="194"/>
  <c r="AU33" i="194"/>
  <c r="P33" i="194"/>
  <c r="AZ32" i="194"/>
  <c r="AY32" i="194"/>
  <c r="R32" i="194" s="1"/>
  <c r="AW32" i="194"/>
  <c r="P32" i="194" s="1"/>
  <c r="AU32" i="194"/>
  <c r="AX32" i="194" s="1"/>
  <c r="Q32" i="194" s="1"/>
  <c r="AZ31" i="194"/>
  <c r="AY31" i="194"/>
  <c r="R31" i="194" s="1"/>
  <c r="AW31" i="194"/>
  <c r="P31" i="194" s="1"/>
  <c r="AU31" i="194"/>
  <c r="AX31" i="194" s="1"/>
  <c r="Q31" i="194" s="1"/>
  <c r="S31" i="194"/>
  <c r="AZ30" i="194"/>
  <c r="AY30" i="194"/>
  <c r="R30" i="194" s="1"/>
  <c r="AW30" i="194"/>
  <c r="AU30" i="194"/>
  <c r="AV30" i="194" s="1"/>
  <c r="O30" i="194" s="1"/>
  <c r="AR30" i="194"/>
  <c r="S30" i="194"/>
  <c r="P30" i="194"/>
  <c r="AZ29" i="194"/>
  <c r="AY29" i="194"/>
  <c r="R29" i="194" s="1"/>
  <c r="AW29" i="194"/>
  <c r="P29" i="194" s="1"/>
  <c r="AU29" i="194"/>
  <c r="AX29" i="194" s="1"/>
  <c r="Q29" i="194" s="1"/>
  <c r="AR29" i="194"/>
  <c r="S29" i="194"/>
  <c r="AZ28" i="194"/>
  <c r="AY28" i="194"/>
  <c r="R28" i="194" s="1"/>
  <c r="R45" i="194" s="1"/>
  <c r="S50" i="194" s="1"/>
  <c r="P77" i="194" s="1"/>
  <c r="AW28" i="194"/>
  <c r="P28" i="194" s="1"/>
  <c r="AU28" i="194"/>
  <c r="AZ27" i="194"/>
  <c r="AY27" i="194"/>
  <c r="R27" i="194" s="1"/>
  <c r="AW27" i="194"/>
  <c r="P27" i="194" s="1"/>
  <c r="AU27" i="194"/>
  <c r="AV27" i="194" s="1"/>
  <c r="O27" i="194" s="1"/>
  <c r="AZ26" i="194"/>
  <c r="AY26" i="194"/>
  <c r="AW26" i="194"/>
  <c r="AU26" i="194"/>
  <c r="AX26" i="194" s="1"/>
  <c r="Q26" i="194" s="1"/>
  <c r="R26" i="194"/>
  <c r="P26" i="194"/>
  <c r="P45" i="194" s="1"/>
  <c r="Q50" i="194" s="1"/>
  <c r="P75" i="194" s="1"/>
  <c r="AZ25" i="194"/>
  <c r="AY25" i="194"/>
  <c r="AW25" i="194"/>
  <c r="P25" i="194" s="1"/>
  <c r="AU25" i="194"/>
  <c r="AX25" i="194" s="1"/>
  <c r="Q25" i="194" s="1"/>
  <c r="R25" i="194"/>
  <c r="AR20" i="194"/>
  <c r="AS20" i="194" s="1"/>
  <c r="AR19" i="194"/>
  <c r="AS19" i="194" s="1"/>
  <c r="AR18" i="194"/>
  <c r="AS18" i="194" s="1"/>
  <c r="AR17" i="194"/>
  <c r="AS17" i="194" s="1"/>
  <c r="AR16" i="194"/>
  <c r="AS16" i="194" s="1"/>
  <c r="AR15" i="194"/>
  <c r="AS15" i="194" s="1"/>
  <c r="C15" i="194"/>
  <c r="B15" i="194"/>
  <c r="B16" i="194" s="1"/>
  <c r="AR14" i="194"/>
  <c r="AS14" i="194" s="1"/>
  <c r="C14" i="194"/>
  <c r="B14" i="194"/>
  <c r="U5" i="194"/>
  <c r="Q3" i="194"/>
  <c r="Z50" i="194" s="1"/>
  <c r="V2" i="194"/>
  <c r="Y1" i="194"/>
  <c r="AA65" i="194" s="1"/>
  <c r="AR65" i="194" s="1"/>
  <c r="AN27" i="169" l="1"/>
  <c r="AK27" i="169"/>
  <c r="AM27" i="169"/>
  <c r="AR25" i="169"/>
  <c r="AP29" i="171"/>
  <c r="AN29" i="171"/>
  <c r="AM29" i="171"/>
  <c r="AL29" i="171"/>
  <c r="AK29" i="171"/>
  <c r="AJ29" i="171"/>
  <c r="AI29" i="171"/>
  <c r="AO29" i="171"/>
  <c r="G27" i="187"/>
  <c r="AR25" i="5"/>
  <c r="AO25" i="5"/>
  <c r="AM25" i="5"/>
  <c r="AL25" i="5"/>
  <c r="AK25" i="5"/>
  <c r="AQ25" i="5"/>
  <c r="AN25" i="5"/>
  <c r="AP25" i="5"/>
  <c r="AS30" i="194"/>
  <c r="AJ22" i="171"/>
  <c r="H26" i="187"/>
  <c r="AP22" i="171"/>
  <c r="G26" i="187"/>
  <c r="AO22" i="171"/>
  <c r="AN22" i="171"/>
  <c r="AI22" i="171"/>
  <c r="AM22" i="171"/>
  <c r="AL22" i="171"/>
  <c r="AK22" i="171"/>
  <c r="AS43" i="194"/>
  <c r="AM19" i="5"/>
  <c r="AL19" i="5"/>
  <c r="AR19" i="5"/>
  <c r="AQ19" i="5"/>
  <c r="AP19" i="5"/>
  <c r="AO19" i="5"/>
  <c r="AN19" i="5"/>
  <c r="AK19" i="5"/>
  <c r="B17" i="194"/>
  <c r="C16" i="194"/>
  <c r="AP22" i="192"/>
  <c r="AO22" i="192"/>
  <c r="AN22" i="192"/>
  <c r="AM22" i="192"/>
  <c r="AL22" i="192"/>
  <c r="AK22" i="192"/>
  <c r="AJ22" i="192"/>
  <c r="AI22" i="192"/>
  <c r="H29" i="187"/>
  <c r="G29" i="187"/>
  <c r="AQ15" i="5"/>
  <c r="AO15" i="5"/>
  <c r="AN15" i="5"/>
  <c r="AP15" i="5"/>
  <c r="AM15" i="5"/>
  <c r="AL15" i="5"/>
  <c r="P21" i="187"/>
  <c r="AK15" i="5"/>
  <c r="AR15" i="5"/>
  <c r="Q4" i="187"/>
  <c r="Q6" i="187" s="1"/>
  <c r="Q5" i="187"/>
  <c r="AM29" i="192"/>
  <c r="AL29" i="192"/>
  <c r="AK29" i="192"/>
  <c r="AJ29" i="192"/>
  <c r="AI29" i="192"/>
  <c r="G30" i="187"/>
  <c r="H30" i="187"/>
  <c r="AP29" i="192"/>
  <c r="AO29" i="192"/>
  <c r="AN29" i="192"/>
  <c r="AR27" i="5"/>
  <c r="AK30" i="170"/>
  <c r="AX27" i="194"/>
  <c r="Q27" i="194" s="1"/>
  <c r="AX36" i="194"/>
  <c r="Q36" i="194" s="1"/>
  <c r="AS36" i="194" s="1"/>
  <c r="AX40" i="194"/>
  <c r="Q40" i="194" s="1"/>
  <c r="AE40" i="194" s="1"/>
  <c r="AR40" i="194" s="1"/>
  <c r="AS40" i="194" s="1"/>
  <c r="AL17" i="5"/>
  <c r="AP21" i="5"/>
  <c r="AR23" i="5"/>
  <c r="AO16" i="170"/>
  <c r="AI23" i="170"/>
  <c r="AI24" i="170"/>
  <c r="AO30" i="170"/>
  <c r="AL16" i="191"/>
  <c r="AL17" i="191"/>
  <c r="AL30" i="191"/>
  <c r="AL31" i="191"/>
  <c r="AN15" i="192"/>
  <c r="AX37" i="194"/>
  <c r="Q37" i="194" s="1"/>
  <c r="AS37" i="194" s="1"/>
  <c r="H13" i="187"/>
  <c r="AQ27" i="5"/>
  <c r="AL21" i="5"/>
  <c r="H11" i="187"/>
  <c r="AK25" i="169"/>
  <c r="AM17" i="5"/>
  <c r="AQ21" i="5"/>
  <c r="AK27" i="5"/>
  <c r="AP16" i="170"/>
  <c r="AJ23" i="170"/>
  <c r="AJ24" i="170"/>
  <c r="AP30" i="170"/>
  <c r="AM16" i="191"/>
  <c r="AM17" i="191"/>
  <c r="AM30" i="191"/>
  <c r="AM31" i="191"/>
  <c r="AO15" i="192"/>
  <c r="AM21" i="5"/>
  <c r="AI31" i="191"/>
  <c r="AO27" i="169"/>
  <c r="AN21" i="5"/>
  <c r="AM30" i="170"/>
  <c r="AJ30" i="191"/>
  <c r="AJ31" i="191"/>
  <c r="AO15" i="171"/>
  <c r="AX43" i="194"/>
  <c r="Q43" i="194" s="1"/>
  <c r="AL25" i="169"/>
  <c r="AN17" i="5"/>
  <c r="AR21" i="5"/>
  <c r="AL27" i="5"/>
  <c r="AK23" i="170"/>
  <c r="AK24" i="170"/>
  <c r="AN16" i="191"/>
  <c r="AN17" i="191"/>
  <c r="AN30" i="191"/>
  <c r="AN31" i="191"/>
  <c r="AP15" i="192"/>
  <c r="AV33" i="194"/>
  <c r="O33" i="194" s="1"/>
  <c r="AA58" i="194"/>
  <c r="AA68" i="194"/>
  <c r="H15" i="187"/>
  <c r="P27" i="187"/>
  <c r="R28" i="187" s="1"/>
  <c r="AM25" i="169"/>
  <c r="AO17" i="5"/>
  <c r="AM27" i="5"/>
  <c r="AL24" i="170"/>
  <c r="AO16" i="191"/>
  <c r="AO17" i="191"/>
  <c r="AI23" i="191"/>
  <c r="AO30" i="191"/>
  <c r="AO31" i="191"/>
  <c r="AI16" i="192"/>
  <c r="AV28" i="194"/>
  <c r="O28" i="194" s="1"/>
  <c r="AE28" i="194" s="1"/>
  <c r="AR28" i="194" s="1"/>
  <c r="AS28" i="194" s="1"/>
  <c r="AA70" i="194"/>
  <c r="AR70" i="194" s="1"/>
  <c r="AN27" i="5"/>
  <c r="AP16" i="191"/>
  <c r="AP17" i="191"/>
  <c r="AJ23" i="191"/>
  <c r="AP30" i="191"/>
  <c r="AP31" i="191"/>
  <c r="AI15" i="171"/>
  <c r="AJ16" i="192"/>
  <c r="AK23" i="191"/>
  <c r="AJ15" i="171"/>
  <c r="AK16" i="192"/>
  <c r="AK15" i="171"/>
  <c r="AL16" i="192"/>
  <c r="AL15" i="171"/>
  <c r="AI15" i="192"/>
  <c r="AM16" i="192"/>
  <c r="AI30" i="170"/>
  <c r="H28" i="187"/>
  <c r="AJ30" i="170"/>
  <c r="AM15" i="171"/>
  <c r="AJ15" i="192"/>
  <c r="AN16" i="192"/>
  <c r="AN15" i="171"/>
  <c r="AK15" i="192"/>
  <c r="AO16" i="192"/>
  <c r="AL15" i="192"/>
  <c r="AL30" i="170"/>
  <c r="AI30" i="191"/>
  <c r="G31" i="187"/>
  <c r="H31" i="187" s="1"/>
  <c r="G25" i="187"/>
  <c r="C14" i="191"/>
  <c r="C28" i="191"/>
  <c r="C21" i="192"/>
  <c r="AX44" i="194"/>
  <c r="Q44" i="194" s="1"/>
  <c r="AS44" i="194" s="1"/>
  <c r="H44" i="194"/>
  <c r="H45" i="194" s="1"/>
  <c r="O50" i="194" s="1"/>
  <c r="AV44" i="194"/>
  <c r="O44" i="194" s="1"/>
  <c r="AV31" i="194"/>
  <c r="O31" i="194" s="1"/>
  <c r="AE31" i="194" s="1"/>
  <c r="AR31" i="194" s="1"/>
  <c r="AS31" i="194" s="1"/>
  <c r="AV25" i="194"/>
  <c r="O25" i="194" s="1"/>
  <c r="AX28" i="194"/>
  <c r="Q28" i="194" s="1"/>
  <c r="AV29" i="194"/>
  <c r="O29" i="194" s="1"/>
  <c r="AS29" i="194" s="1"/>
  <c r="Z55" i="194"/>
  <c r="AA55" i="194" s="1"/>
  <c r="AN21" i="169"/>
  <c r="AP23" i="169"/>
  <c r="AX30" i="194"/>
  <c r="Q30" i="194" s="1"/>
  <c r="AX33" i="194"/>
  <c r="Q33" i="194" s="1"/>
  <c r="AE33" i="194" s="1"/>
  <c r="AR33" i="194" s="1"/>
  <c r="AS33" i="194" s="1"/>
  <c r="Z47" i="194"/>
  <c r="AA47" i="194" s="1"/>
  <c r="AO21" i="169"/>
  <c r="AQ23" i="169"/>
  <c r="Z51" i="194"/>
  <c r="AA51" i="194" s="1"/>
  <c r="AP21" i="169"/>
  <c r="AR23" i="169"/>
  <c r="AQ21" i="169"/>
  <c r="Z48" i="194"/>
  <c r="AA48" i="194" s="1"/>
  <c r="AR21" i="169"/>
  <c r="AL27" i="169"/>
  <c r="AX34" i="194"/>
  <c r="Q34" i="194" s="1"/>
  <c r="AE34" i="194" s="1"/>
  <c r="AR34" i="194" s="1"/>
  <c r="AS34" i="194" s="1"/>
  <c r="AV38" i="194"/>
  <c r="O38" i="194" s="1"/>
  <c r="AE38" i="194" s="1"/>
  <c r="AR38" i="194" s="1"/>
  <c r="AS38" i="194" s="1"/>
  <c r="AV41" i="194"/>
  <c r="O41" i="194" s="1"/>
  <c r="AE41" i="194" s="1"/>
  <c r="AR41" i="194" s="1"/>
  <c r="AS41" i="194" s="1"/>
  <c r="Z52" i="194"/>
  <c r="AA52" i="194" s="1"/>
  <c r="Z54" i="194"/>
  <c r="AA54" i="194" s="1"/>
  <c r="AV32" i="194"/>
  <c r="O32" i="194" s="1"/>
  <c r="AE32" i="194" s="1"/>
  <c r="AR32" i="194" s="1"/>
  <c r="AS32" i="194" s="1"/>
  <c r="AV35" i="194"/>
  <c r="O35" i="194" s="1"/>
  <c r="AE35" i="194" s="1"/>
  <c r="AR35" i="194" s="1"/>
  <c r="AS35" i="194" s="1"/>
  <c r="Z45" i="194"/>
  <c r="AA45" i="194" s="1"/>
  <c r="AK23" i="169"/>
  <c r="Z49" i="194"/>
  <c r="AA49" i="194" s="1"/>
  <c r="AL23" i="169"/>
  <c r="AN25" i="169"/>
  <c r="AP27" i="169"/>
  <c r="AV26" i="194"/>
  <c r="O26" i="194" s="1"/>
  <c r="AE26" i="194" s="1"/>
  <c r="AR26" i="194" s="1"/>
  <c r="AV39" i="194"/>
  <c r="O39" i="194" s="1"/>
  <c r="AE39" i="194" s="1"/>
  <c r="AR39" i="194" s="1"/>
  <c r="AS39" i="194" s="1"/>
  <c r="AV42" i="194"/>
  <c r="O42" i="194" s="1"/>
  <c r="AE42" i="194" s="1"/>
  <c r="AR42" i="194" s="1"/>
  <c r="AS42" i="194" s="1"/>
  <c r="AK21" i="169"/>
  <c r="AM23" i="169"/>
  <c r="AO25" i="169"/>
  <c r="AQ27" i="169"/>
  <c r="Z46" i="194"/>
  <c r="AA46" i="194" s="1"/>
  <c r="Z53" i="194"/>
  <c r="AA53" i="194" s="1"/>
  <c r="AL21" i="169"/>
  <c r="AN23" i="169"/>
  <c r="AP25" i="169"/>
  <c r="Q7" i="187" l="1"/>
  <c r="AP16" i="171"/>
  <c r="AO16" i="171"/>
  <c r="AN16" i="171"/>
  <c r="AM16" i="171"/>
  <c r="AL16" i="171"/>
  <c r="AK16" i="171"/>
  <c r="AJ16" i="171"/>
  <c r="AI16" i="171"/>
  <c r="AC80" i="194"/>
  <c r="AC74" i="194"/>
  <c r="AC78" i="194"/>
  <c r="AC73" i="194"/>
  <c r="AD75" i="194"/>
  <c r="AD82" i="194"/>
  <c r="AC75" i="194"/>
  <c r="AC82" i="194"/>
  <c r="AD77" i="194"/>
  <c r="AD81" i="194"/>
  <c r="AC81" i="194"/>
  <c r="AC77" i="194"/>
  <c r="AD79" i="194"/>
  <c r="AD78" i="194"/>
  <c r="AD73" i="194"/>
  <c r="AD80" i="194"/>
  <c r="AD74" i="194"/>
  <c r="AD76" i="194"/>
  <c r="AC79" i="194"/>
  <c r="AC76" i="194"/>
  <c r="AN17" i="170"/>
  <c r="AJ17" i="170"/>
  <c r="AI17" i="170"/>
  <c r="AM17" i="170"/>
  <c r="AL17" i="170"/>
  <c r="AP17" i="170"/>
  <c r="AO17" i="170"/>
  <c r="AK17" i="170"/>
  <c r="AK23" i="192"/>
  <c r="AJ23" i="192"/>
  <c r="AI23" i="192"/>
  <c r="AP23" i="192"/>
  <c r="AO23" i="192"/>
  <c r="AN23" i="192"/>
  <c r="AM23" i="192"/>
  <c r="AL23" i="192"/>
  <c r="AP30" i="171"/>
  <c r="AO30" i="171"/>
  <c r="AN30" i="171"/>
  <c r="AM30" i="171"/>
  <c r="AL30" i="171"/>
  <c r="AK30" i="171"/>
  <c r="AJ30" i="171"/>
  <c r="AI30" i="171"/>
  <c r="Q45" i="194"/>
  <c r="R50" i="194" s="1"/>
  <c r="P76" i="194" s="1"/>
  <c r="AE27" i="194"/>
  <c r="AR27" i="194" s="1"/>
  <c r="AM24" i="191"/>
  <c r="AL24" i="191"/>
  <c r="AK24" i="191"/>
  <c r="AJ24" i="191"/>
  <c r="AI24" i="191"/>
  <c r="AO24" i="191"/>
  <c r="AP24" i="191"/>
  <c r="AN24" i="191"/>
  <c r="H27" i="187"/>
  <c r="AK24" i="192"/>
  <c r="AJ24" i="192"/>
  <c r="AI24" i="192"/>
  <c r="AP24" i="192"/>
  <c r="AO24" i="192"/>
  <c r="AN24" i="192"/>
  <c r="AM24" i="192"/>
  <c r="AL24" i="192"/>
  <c r="AP31" i="192"/>
  <c r="AO31" i="192"/>
  <c r="AN31" i="192"/>
  <c r="AM31" i="192"/>
  <c r="AL31" i="192"/>
  <c r="AK31" i="192"/>
  <c r="AJ31" i="192"/>
  <c r="AI31" i="192"/>
  <c r="AN24" i="171"/>
  <c r="AL24" i="171"/>
  <c r="AK24" i="171"/>
  <c r="AJ24" i="171"/>
  <c r="AI24" i="171"/>
  <c r="AP24" i="171"/>
  <c r="AM24" i="171"/>
  <c r="AO24" i="171"/>
  <c r="AP17" i="192"/>
  <c r="AO17" i="192"/>
  <c r="AN17" i="192"/>
  <c r="AM17" i="192"/>
  <c r="AL17" i="192"/>
  <c r="AK17" i="192"/>
  <c r="AJ17" i="192"/>
  <c r="AI17" i="192"/>
  <c r="B18" i="194"/>
  <c r="C17" i="194"/>
  <c r="AN31" i="170"/>
  <c r="AM31" i="170"/>
  <c r="AL31" i="170"/>
  <c r="AP31" i="170"/>
  <c r="AJ31" i="170"/>
  <c r="AI31" i="170"/>
  <c r="AO31" i="170"/>
  <c r="AK31" i="170"/>
  <c r="G50" i="194"/>
  <c r="H25" i="187"/>
  <c r="AP30" i="192"/>
  <c r="AO30" i="192"/>
  <c r="AN30" i="192"/>
  <c r="AM30" i="192"/>
  <c r="AL30" i="192"/>
  <c r="AK30" i="192"/>
  <c r="AJ30" i="192"/>
  <c r="AI30" i="192"/>
  <c r="AM28" i="5"/>
  <c r="AR28" i="5"/>
  <c r="AQ28" i="5"/>
  <c r="AL28" i="5"/>
  <c r="AP28" i="5"/>
  <c r="R22" i="187"/>
  <c r="AO28" i="5"/>
  <c r="AN28" i="5"/>
  <c r="AK28" i="5"/>
  <c r="AN23" i="171"/>
  <c r="AL23" i="171"/>
  <c r="AK23" i="171"/>
  <c r="AJ23" i="171"/>
  <c r="AI23" i="171"/>
  <c r="AM23" i="171"/>
  <c r="AP23" i="171"/>
  <c r="AO23" i="171"/>
  <c r="O45" i="194"/>
  <c r="P50" i="194" s="1"/>
  <c r="AS26" i="194"/>
  <c r="AR56" i="194"/>
  <c r="AH69" i="194"/>
  <c r="AE67" i="194"/>
  <c r="AE57" i="194"/>
  <c r="AE69" i="194"/>
  <c r="AQ66" i="194"/>
  <c r="AQ64" i="194"/>
  <c r="AQ62" i="194"/>
  <c r="AN64" i="194"/>
  <c r="AN62" i="194"/>
  <c r="AK64" i="194"/>
  <c r="AK62" i="194"/>
  <c r="AH64" i="194"/>
  <c r="AH62" i="194"/>
  <c r="AQ59" i="194"/>
  <c r="AE82" i="194" s="1"/>
  <c r="AQ56" i="194"/>
  <c r="AE64" i="194"/>
  <c r="AE62" i="194"/>
  <c r="AN59" i="194"/>
  <c r="AE81" i="194" s="1"/>
  <c r="AK59" i="194"/>
  <c r="AE80" i="194" s="1"/>
  <c r="AQ67" i="194"/>
  <c r="AQ61" i="194"/>
  <c r="AH59" i="194"/>
  <c r="AE79" i="194" s="1"/>
  <c r="AQ57" i="194"/>
  <c r="AE77" i="194" s="1"/>
  <c r="AQ69" i="194"/>
  <c r="AN67" i="194"/>
  <c r="AE59" i="194"/>
  <c r="AE78" i="194" s="1"/>
  <c r="AN57" i="194"/>
  <c r="AE76" i="194" s="1"/>
  <c r="AN69" i="194"/>
  <c r="AK67" i="194"/>
  <c r="AK57" i="194"/>
  <c r="AE75" i="194" s="1"/>
  <c r="AK69" i="194"/>
  <c r="AH67" i="194"/>
  <c r="AH57" i="194"/>
  <c r="AE74" i="194" s="1"/>
  <c r="S34" i="194"/>
  <c r="S40" i="194"/>
  <c r="S33" i="194"/>
  <c r="S35" i="194"/>
  <c r="S32" i="194"/>
  <c r="S28" i="194"/>
  <c r="S41" i="194"/>
  <c r="S38" i="194"/>
  <c r="S27" i="194"/>
  <c r="S42" i="194"/>
  <c r="S39" i="194"/>
  <c r="AS27" i="194" l="1"/>
  <c r="AR61" i="194"/>
  <c r="AR66" i="194"/>
  <c r="AP31" i="171"/>
  <c r="AO31" i="171"/>
  <c r="AN31" i="171"/>
  <c r="AM31" i="171"/>
  <c r="AL31" i="171"/>
  <c r="AK31" i="171"/>
  <c r="AJ31" i="171"/>
  <c r="AI31" i="171"/>
  <c r="AP17" i="171"/>
  <c r="AO17" i="171"/>
  <c r="AN17" i="171"/>
  <c r="AM17" i="171"/>
  <c r="AL17" i="171"/>
  <c r="AK17" i="171"/>
  <c r="AJ17" i="171"/>
  <c r="AI17" i="171"/>
  <c r="P74" i="194"/>
  <c r="U50" i="194"/>
  <c r="AQ30" i="5"/>
  <c r="AO30" i="5"/>
  <c r="AN30" i="5"/>
  <c r="AM30" i="5"/>
  <c r="AL30" i="5"/>
  <c r="AK30" i="5"/>
  <c r="AP30" i="5"/>
  <c r="AR30" i="5"/>
  <c r="C18" i="194"/>
  <c r="B19" i="194"/>
  <c r="L4" i="187"/>
  <c r="K4" i="187"/>
  <c r="AR64" i="194"/>
  <c r="AR69" i="194"/>
  <c r="L8" i="187"/>
  <c r="L6" i="187"/>
  <c r="L10" i="187"/>
  <c r="L5" i="187"/>
  <c r="L7" i="187"/>
  <c r="L9" i="187"/>
  <c r="AR59" i="194"/>
  <c r="AR60" i="194" s="1"/>
  <c r="AE73" i="194"/>
  <c r="P78" i="194" l="1"/>
  <c r="Q74" i="194"/>
  <c r="Q77" i="194"/>
  <c r="Q76" i="194"/>
  <c r="Q75" i="194"/>
  <c r="C19" i="194"/>
  <c r="B20" i="194"/>
  <c r="AQ70" i="194"/>
  <c r="AQ68" i="194"/>
  <c r="AN70" i="194"/>
  <c r="AN68" i="194"/>
  <c r="AK70" i="194"/>
  <c r="AK68" i="194"/>
  <c r="AH70" i="194"/>
  <c r="AH68" i="194"/>
  <c r="AE70" i="194"/>
  <c r="AE68" i="194"/>
  <c r="AK60" i="194"/>
  <c r="AF80" i="194" s="1"/>
  <c r="AN58" i="194"/>
  <c r="AF76" i="194" s="1"/>
  <c r="AH60" i="194"/>
  <c r="AF79" i="194" s="1"/>
  <c r="AK58" i="194"/>
  <c r="AF75" i="194" s="1"/>
  <c r="AE60" i="194"/>
  <c r="AF78" i="194" s="1"/>
  <c r="AH58" i="194"/>
  <c r="AF74" i="194" s="1"/>
  <c r="AE58" i="194"/>
  <c r="AF73" i="194" s="1"/>
  <c r="AQ60" i="194"/>
  <c r="AF82" i="194" s="1"/>
  <c r="AN60" i="194"/>
  <c r="AF81" i="194" s="1"/>
  <c r="AQ58" i="194"/>
  <c r="AF77" i="194" s="1"/>
  <c r="AE63" i="194"/>
  <c r="AQ65" i="194"/>
  <c r="AN65" i="194"/>
  <c r="AK65" i="194"/>
  <c r="AH65" i="194"/>
  <c r="AQ63" i="194"/>
  <c r="AE65" i="194"/>
  <c r="AN63" i="194"/>
  <c r="AK63" i="194"/>
  <c r="AH63" i="194"/>
  <c r="Q78" i="194" l="1"/>
  <c r="R75" i="194"/>
  <c r="O55" i="194" s="1"/>
  <c r="U55" i="194" s="1"/>
  <c r="R77" i="194"/>
  <c r="O57" i="194" s="1"/>
  <c r="U57" i="194" s="1"/>
  <c r="R74" i="194"/>
  <c r="R76" i="194"/>
  <c r="O56" i="194" s="1"/>
  <c r="U56" i="194" s="1"/>
  <c r="B21" i="194"/>
  <c r="C20" i="194"/>
  <c r="K8" i="187"/>
  <c r="K6" i="187"/>
  <c r="K10" i="187"/>
  <c r="K5" i="187"/>
  <c r="K7" i="187"/>
  <c r="K9" i="187"/>
  <c r="B22" i="194" l="1"/>
  <c r="C21" i="194"/>
  <c r="R78" i="194"/>
  <c r="O54" i="194"/>
  <c r="U54" i="194" s="1"/>
  <c r="P5" i="187" s="1"/>
  <c r="B23" i="194" l="1"/>
  <c r="C22" i="194"/>
  <c r="B24" i="194" l="1"/>
  <c r="C23" i="194"/>
  <c r="B25" i="194" l="1"/>
  <c r="C24" i="194"/>
  <c r="B26" i="194" l="1"/>
  <c r="C25" i="194"/>
  <c r="C26" i="194" l="1"/>
  <c r="B27" i="194"/>
  <c r="C27" i="194" l="1"/>
  <c r="B28" i="194"/>
  <c r="B29" i="194" l="1"/>
  <c r="C28" i="194"/>
  <c r="B30" i="194" l="1"/>
  <c r="C29" i="194"/>
  <c r="B31" i="194" l="1"/>
  <c r="C30" i="194"/>
  <c r="C31" i="194" l="1"/>
  <c r="B32" i="194"/>
  <c r="C32" i="194" l="1"/>
  <c r="B33" i="194"/>
  <c r="B34" i="194" l="1"/>
  <c r="C33" i="194"/>
  <c r="B35" i="194" l="1"/>
  <c r="C34" i="194"/>
  <c r="C35" i="194" l="1"/>
  <c r="B36" i="194"/>
  <c r="C36" i="194" l="1"/>
  <c r="B37" i="194"/>
  <c r="B38" i="194" l="1"/>
  <c r="C37" i="194"/>
  <c r="C38" i="194" l="1"/>
  <c r="B39" i="194"/>
  <c r="C39" i="194" l="1"/>
  <c r="B40" i="194"/>
  <c r="C40" i="194" l="1"/>
  <c r="B41" i="194"/>
  <c r="C41" i="194" l="1"/>
  <c r="B42" i="194"/>
  <c r="B43" i="194" l="1"/>
  <c r="C42" i="194"/>
  <c r="C43" i="194" l="1"/>
  <c r="B44" i="194"/>
  <c r="C44" i="194" l="1"/>
  <c r="H50" i="194"/>
  <c r="U53" i="194" l="1"/>
  <c r="O58" i="194"/>
  <c r="U58" i="194" s="1"/>
  <c r="P6" i="187" s="1"/>
  <c r="P7" i="187" s="1"/>
  <c r="U59" i="194" l="1"/>
  <c r="F4" i="187"/>
  <c r="Q8" i="187"/>
  <c r="Q9" i="187" s="1"/>
  <c r="Q10" i="187" s="1"/>
  <c r="P19" i="187" l="1"/>
  <c r="F2" i="187"/>
  <c r="AP28" i="169" l="1"/>
  <c r="AM28" i="169"/>
  <c r="AK28" i="169"/>
  <c r="AR28" i="169"/>
  <c r="AL28" i="169"/>
  <c r="AQ28" i="169"/>
  <c r="P20" i="187"/>
  <c r="AN28" i="169"/>
  <c r="AO28" i="169"/>
  <c r="R20" i="187" l="1"/>
  <c r="AN29" i="169"/>
  <c r="AK29" i="169"/>
  <c r="AQ29" i="169"/>
  <c r="AP29" i="169"/>
  <c r="AO29" i="169"/>
  <c r="AL29" i="169"/>
  <c r="AR29" i="169"/>
  <c r="AM29" i="169"/>
  <c r="AO30" i="169" l="1"/>
  <c r="AN30" i="169"/>
  <c r="AK30" i="169"/>
  <c r="AM30" i="169"/>
  <c r="AR30" i="169"/>
  <c r="AL30" i="169"/>
  <c r="AQ30" i="169"/>
  <c r="AP30" i="1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田嶋 千恵</author>
  </authors>
  <commentList>
    <comment ref="AR13" authorId="0" shapeId="0" xr:uid="{2B2A3C9D-F87D-4994-9DB5-E6BADDEE7747}">
      <text>
        <r>
          <rPr>
            <b/>
            <sz val="9"/>
            <color indexed="81"/>
            <rFont val="MS P ゴシック"/>
            <family val="3"/>
            <charset val="128"/>
          </rPr>
          <t>田嶋 千恵:</t>
        </r>
        <r>
          <rPr>
            <sz val="9"/>
            <color indexed="81"/>
            <rFont val="MS P ゴシック"/>
            <family val="3"/>
            <charset val="128"/>
          </rPr>
          <t xml:space="preserve">
2024/9/25 数式を足し算からSUMに変更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田嶋 千恵</author>
  </authors>
  <commentList>
    <comment ref="J1" authorId="0" shapeId="0" xr:uid="{29B7E5F8-63C4-48DB-836D-A433D9F025F0}">
      <text>
        <r>
          <rPr>
            <sz val="9"/>
            <color indexed="81"/>
            <rFont val="ＭＳ ゴシック"/>
            <family val="3"/>
            <charset val="128"/>
          </rPr>
          <t>就業管理台帳の構成比はまるめが行われていない値のため、見た目の割合で算出すると合計で100%にならない場合があるため調整をはさむようにしている。</t>
        </r>
      </text>
    </comment>
  </commentList>
</comments>
</file>

<file path=xl/sharedStrings.xml><?xml version="1.0" encoding="utf-8"?>
<sst xmlns="http://schemas.openxmlformats.org/spreadsheetml/2006/main" count="782" uniqueCount="333">
  <si>
    <t>SDM　INPUT票</t>
    <rPh sb="9" eb="10">
      <t>ヒョウ</t>
    </rPh>
    <phoneticPr fontId="2"/>
  </si>
  <si>
    <t>外注先コード</t>
    <rPh sb="0" eb="2">
      <t>ガイチュウ</t>
    </rPh>
    <rPh sb="2" eb="3">
      <t>サキ</t>
    </rPh>
    <phoneticPr fontId="2"/>
  </si>
  <si>
    <t>金　　　額</t>
    <rPh sb="0" eb="1">
      <t>キン</t>
    </rPh>
    <rPh sb="4" eb="5">
      <t>ガク</t>
    </rPh>
    <phoneticPr fontId="2"/>
  </si>
  <si>
    <t>　</t>
    <phoneticPr fontId="2"/>
  </si>
  <si>
    <t>小　　計</t>
    <rPh sb="0" eb="1">
      <t>ショウ</t>
    </rPh>
    <rPh sb="3" eb="4">
      <t>ケイ</t>
    </rPh>
    <phoneticPr fontId="2"/>
  </si>
  <si>
    <t>消　費　税　等</t>
    <rPh sb="0" eb="1">
      <t>ショウ</t>
    </rPh>
    <rPh sb="2" eb="3">
      <t>ヒ</t>
    </rPh>
    <rPh sb="4" eb="5">
      <t>ゼイ</t>
    </rPh>
    <rPh sb="6" eb="7">
      <t>ナド</t>
    </rPh>
    <phoneticPr fontId="2"/>
  </si>
  <si>
    <t>合　　計</t>
    <rPh sb="0" eb="1">
      <t>ア</t>
    </rPh>
    <rPh sb="3" eb="4">
      <t>ケイ</t>
    </rPh>
    <phoneticPr fontId="2"/>
  </si>
  <si>
    <t>備　考</t>
    <rPh sb="0" eb="1">
      <t>ソナエ</t>
    </rPh>
    <rPh sb="2" eb="3">
      <t>コウ</t>
    </rPh>
    <phoneticPr fontId="2"/>
  </si>
  <si>
    <t>派遣社員　一括</t>
    <rPh sb="0" eb="2">
      <t>ハケン</t>
    </rPh>
    <rPh sb="2" eb="4">
      <t>シャイン</t>
    </rPh>
    <rPh sb="5" eb="7">
      <t>イッカツ</t>
    </rPh>
    <phoneticPr fontId="2"/>
  </si>
  <si>
    <t>検印</t>
    <rPh sb="0" eb="2">
      <t>ケンイン</t>
    </rPh>
    <phoneticPr fontId="2"/>
  </si>
  <si>
    <t>課長</t>
    <rPh sb="0" eb="2">
      <t>カチョウ</t>
    </rPh>
    <phoneticPr fontId="2"/>
  </si>
  <si>
    <t>担当</t>
    <rPh sb="0" eb="2">
      <t>タントウ</t>
    </rPh>
    <phoneticPr fontId="2"/>
  </si>
  <si>
    <t>部門名</t>
    <rPh sb="0" eb="2">
      <t>ブモン</t>
    </rPh>
    <rPh sb="2" eb="3">
      <t>メイ</t>
    </rPh>
    <phoneticPr fontId="2"/>
  </si>
  <si>
    <t>部門長</t>
    <rPh sb="0" eb="2">
      <t>ブモン</t>
    </rPh>
    <rPh sb="2" eb="3">
      <t>チョウ</t>
    </rPh>
    <phoneticPr fontId="2"/>
  </si>
  <si>
    <t>部門コード</t>
    <rPh sb="0" eb="2">
      <t>ブモン</t>
    </rPh>
    <phoneticPr fontId="2"/>
  </si>
  <si>
    <t>作業コード（3桁）</t>
    <rPh sb="0" eb="2">
      <t>サギョウ</t>
    </rPh>
    <rPh sb="7" eb="8">
      <t>ケタ</t>
    </rPh>
    <phoneticPr fontId="2"/>
  </si>
  <si>
    <t>顧客名</t>
    <rPh sb="0" eb="2">
      <t>コキャク</t>
    </rPh>
    <rPh sb="2" eb="3">
      <t>メイ</t>
    </rPh>
    <phoneticPr fontId="2"/>
  </si>
  <si>
    <t>システム名</t>
    <rPh sb="4" eb="5">
      <t>メイ</t>
    </rPh>
    <phoneticPr fontId="2"/>
  </si>
  <si>
    <t>外注先社名</t>
    <rPh sb="0" eb="2">
      <t>ガイチュウ</t>
    </rPh>
    <rPh sb="2" eb="3">
      <t>サキ</t>
    </rPh>
    <rPh sb="3" eb="5">
      <t>シャメイ</t>
    </rPh>
    <phoneticPr fontId="2"/>
  </si>
  <si>
    <t>派遣社員名</t>
    <rPh sb="0" eb="2">
      <t>ハケン</t>
    </rPh>
    <rPh sb="2" eb="4">
      <t>シャイン</t>
    </rPh>
    <rPh sb="4" eb="5">
      <t>メイ</t>
    </rPh>
    <phoneticPr fontId="2"/>
  </si>
  <si>
    <t>派遣社員　保守</t>
    <rPh sb="0" eb="2">
      <t>ハケン</t>
    </rPh>
    <rPh sb="2" eb="4">
      <t>シャイン</t>
    </rPh>
    <rPh sb="5" eb="7">
      <t>ホシュ</t>
    </rPh>
    <phoneticPr fontId="2"/>
  </si>
  <si>
    <t>対応期間</t>
    <rPh sb="0" eb="2">
      <t>タイオウ</t>
    </rPh>
    <rPh sb="2" eb="4">
      <t>キカン</t>
    </rPh>
    <phoneticPr fontId="2"/>
  </si>
  <si>
    <t>（西暦）</t>
    <rPh sb="1" eb="3">
      <t>セイレキ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</si>
  <si>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</si>
  <si>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</si>
  <si>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</si>
  <si>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作業コード</t>
    <rPh sb="0" eb="2">
      <t>サギョウ</t>
    </rPh>
    <phoneticPr fontId="2"/>
  </si>
  <si>
    <t>システム受注番号</t>
    <phoneticPr fontId="2"/>
  </si>
  <si>
    <t>No</t>
    <phoneticPr fontId="2"/>
  </si>
  <si>
    <t>～</t>
    <phoneticPr fontId="2"/>
  </si>
  <si>
    <t>見積番号</t>
    <phoneticPr fontId="2"/>
  </si>
  <si>
    <t>①作成日</t>
    <rPh sb="1" eb="4">
      <t>サクセイビ</t>
    </rPh>
    <phoneticPr fontId="9"/>
  </si>
  <si>
    <t>②期間</t>
    <rPh sb="1" eb="3">
      <t>キカン</t>
    </rPh>
    <phoneticPr fontId="9"/>
  </si>
  <si>
    <t>③派遣先情報</t>
    <rPh sb="1" eb="3">
      <t>ハケン</t>
    </rPh>
    <rPh sb="3" eb="4">
      <t>サキ</t>
    </rPh>
    <rPh sb="4" eb="6">
      <t>ジョウホウ</t>
    </rPh>
    <phoneticPr fontId="9"/>
  </si>
  <si>
    <t>④派遣元情報</t>
    <rPh sb="1" eb="3">
      <t>ハケン</t>
    </rPh>
    <rPh sb="3" eb="4">
      <t>モト</t>
    </rPh>
    <rPh sb="4" eb="6">
      <t>ジョウホウ</t>
    </rPh>
    <phoneticPr fontId="9"/>
  </si>
  <si>
    <t>派遣先事業所名</t>
    <rPh sb="0" eb="2">
      <t>ハケン</t>
    </rPh>
    <rPh sb="2" eb="3">
      <t>サキ</t>
    </rPh>
    <rPh sb="3" eb="6">
      <t>ジギョウショ</t>
    </rPh>
    <rPh sb="6" eb="7">
      <t>メイ</t>
    </rPh>
    <phoneticPr fontId="9"/>
  </si>
  <si>
    <t xml:space="preserve"> 派遣労働者氏名</t>
    <rPh sb="1" eb="3">
      <t>ハケン</t>
    </rPh>
    <rPh sb="3" eb="6">
      <t>ロウドウシャ</t>
    </rPh>
    <rPh sb="6" eb="8">
      <t>シメイ</t>
    </rPh>
    <phoneticPr fontId="9"/>
  </si>
  <si>
    <t>派遣先事業所住所</t>
    <rPh sb="6" eb="8">
      <t>ジュウショ</t>
    </rPh>
    <phoneticPr fontId="9"/>
  </si>
  <si>
    <t xml:space="preserve"> 派遣元事業主名</t>
    <rPh sb="1" eb="3">
      <t>ハケン</t>
    </rPh>
    <rPh sb="3" eb="4">
      <t>モト</t>
    </rPh>
    <rPh sb="4" eb="7">
      <t>ジギョウヌシ</t>
    </rPh>
    <rPh sb="7" eb="8">
      <t>メイ</t>
    </rPh>
    <phoneticPr fontId="9"/>
  </si>
  <si>
    <t>就業場所</t>
    <rPh sb="0" eb="2">
      <t>シュウギョウ</t>
    </rPh>
    <rPh sb="2" eb="4">
      <t>バショ</t>
    </rPh>
    <phoneticPr fontId="9"/>
  </si>
  <si>
    <t xml:space="preserve"> 派遣元事業所名</t>
    <rPh sb="1" eb="3">
      <t>ハケン</t>
    </rPh>
    <rPh sb="3" eb="4">
      <t>モト</t>
    </rPh>
    <rPh sb="4" eb="7">
      <t>ジギョウショ</t>
    </rPh>
    <rPh sb="7" eb="8">
      <t>メイ</t>
    </rPh>
    <phoneticPr fontId="9"/>
  </si>
  <si>
    <t xml:space="preserve"> 派遣元事業所住所</t>
    <rPh sb="1" eb="3">
      <t>ハケン</t>
    </rPh>
    <rPh sb="3" eb="4">
      <t>モト</t>
    </rPh>
    <rPh sb="4" eb="7">
      <t>ジギョウショ</t>
    </rPh>
    <rPh sb="7" eb="9">
      <t>ジュウショ</t>
    </rPh>
    <phoneticPr fontId="9"/>
  </si>
  <si>
    <t>派遣先責任者</t>
    <rPh sb="0" eb="1">
      <t>ハ</t>
    </rPh>
    <rPh sb="1" eb="2">
      <t>ツカ</t>
    </rPh>
    <rPh sb="2" eb="3">
      <t>サキ</t>
    </rPh>
    <rPh sb="3" eb="6">
      <t>セキニンシャ</t>
    </rPh>
    <phoneticPr fontId="9"/>
  </si>
  <si>
    <t xml:space="preserve"> 派遣元責任者</t>
    <rPh sb="1" eb="2">
      <t>ハ</t>
    </rPh>
    <rPh sb="2" eb="3">
      <t>ツカ</t>
    </rPh>
    <rPh sb="3" eb="4">
      <t>モト</t>
    </rPh>
    <rPh sb="4" eb="5">
      <t>セキ</t>
    </rPh>
    <rPh sb="5" eb="6">
      <t>ニン</t>
    </rPh>
    <rPh sb="6" eb="7">
      <t>シャ</t>
    </rPh>
    <phoneticPr fontId="9"/>
  </si>
  <si>
    <t>日付</t>
    <rPh sb="0" eb="2">
      <t>ヒヅケ</t>
    </rPh>
    <phoneticPr fontId="9"/>
  </si>
  <si>
    <t>⑤所定休日</t>
    <rPh sb="1" eb="3">
      <t>ショテイ</t>
    </rPh>
    <rPh sb="3" eb="5">
      <t>キュウジツ</t>
    </rPh>
    <phoneticPr fontId="9"/>
  </si>
  <si>
    <t>就業時間</t>
    <rPh sb="0" eb="2">
      <t>シュウギョウ</t>
    </rPh>
    <rPh sb="2" eb="4">
      <t>ジカン</t>
    </rPh>
    <phoneticPr fontId="9"/>
  </si>
  <si>
    <t>時間内
 勤務(H)</t>
    <rPh sb="0" eb="1">
      <t>トキ</t>
    </rPh>
    <rPh sb="1" eb="2">
      <t>アイダ</t>
    </rPh>
    <rPh sb="2" eb="3">
      <t>ナイ</t>
    </rPh>
    <rPh sb="5" eb="6">
      <t>ツトム</t>
    </rPh>
    <rPh sb="6" eb="7">
      <t>ツトム</t>
    </rPh>
    <phoneticPr fontId="9"/>
  </si>
  <si>
    <t>超過勤務</t>
    <rPh sb="0" eb="2">
      <t>チョウカ</t>
    </rPh>
    <rPh sb="2" eb="4">
      <t>キンム</t>
    </rPh>
    <phoneticPr fontId="9"/>
  </si>
  <si>
    <t>休日勤務</t>
    <rPh sb="0" eb="2">
      <t>キュウジツ</t>
    </rPh>
    <rPh sb="2" eb="4">
      <t>キンム</t>
    </rPh>
    <phoneticPr fontId="9"/>
  </si>
  <si>
    <t>当月時間外
休日就業時間</t>
    <rPh sb="0" eb="2">
      <t>トウゲツ</t>
    </rPh>
    <rPh sb="2" eb="5">
      <t>ジカンガイ</t>
    </rPh>
    <rPh sb="6" eb="8">
      <t>キュウジツ</t>
    </rPh>
    <rPh sb="8" eb="10">
      <t>シュウギョウ</t>
    </rPh>
    <rPh sb="10" eb="12">
      <t>ジカン</t>
    </rPh>
    <phoneticPr fontId="9"/>
  </si>
  <si>
    <t>不就業</t>
    <rPh sb="0" eb="3">
      <t>フシュウギョウ</t>
    </rPh>
    <phoneticPr fontId="9"/>
  </si>
  <si>
    <r>
      <t xml:space="preserve">不就業
</t>
    </r>
    <r>
      <rPr>
        <sz val="8"/>
        <rFont val="ＭＳ ゴシック"/>
        <family val="3"/>
        <charset val="128"/>
      </rPr>
      <t>代休・欠勤
(H)</t>
    </r>
    <rPh sb="0" eb="3">
      <t>フシュウギョウ</t>
    </rPh>
    <rPh sb="4" eb="6">
      <t>ダイキュウ</t>
    </rPh>
    <rPh sb="7" eb="9">
      <t>ケッキン</t>
    </rPh>
    <phoneticPr fontId="9"/>
  </si>
  <si>
    <t>選択勤務区分</t>
    <rPh sb="0" eb="2">
      <t>センタク</t>
    </rPh>
    <rPh sb="2" eb="4">
      <t>キンム</t>
    </rPh>
    <rPh sb="4" eb="6">
      <t>クブン</t>
    </rPh>
    <phoneticPr fontId="9"/>
  </si>
  <si>
    <t>当　月　作　業　内　容</t>
    <rPh sb="0" eb="1">
      <t>トウ</t>
    </rPh>
    <rPh sb="2" eb="3">
      <t>ツキ</t>
    </rPh>
    <rPh sb="4" eb="5">
      <t>サク</t>
    </rPh>
    <rPh sb="6" eb="7">
      <t>ギョウ</t>
    </rPh>
    <rPh sb="8" eb="9">
      <t>ナイ</t>
    </rPh>
    <rPh sb="10" eb="11">
      <t>カタチ</t>
    </rPh>
    <phoneticPr fontId="9"/>
  </si>
  <si>
    <t>合計
ﾁｪｯｸ</t>
    <rPh sb="0" eb="2">
      <t>ゴウケイ</t>
    </rPh>
    <phoneticPr fontId="9"/>
  </si>
  <si>
    <t>月日</t>
    <rPh sb="0" eb="2">
      <t>ガッピ</t>
    </rPh>
    <phoneticPr fontId="9"/>
  </si>
  <si>
    <t>曜</t>
    <rPh sb="0" eb="1">
      <t>ヒカリ</t>
    </rPh>
    <phoneticPr fontId="9"/>
  </si>
  <si>
    <t>始業時刻</t>
    <rPh sb="0" eb="2">
      <t>シギョウ</t>
    </rPh>
    <rPh sb="2" eb="4">
      <t>ジコク</t>
    </rPh>
    <phoneticPr fontId="9"/>
  </si>
  <si>
    <t>終業時刻</t>
    <rPh sb="0" eb="2">
      <t>シュウギョウ</t>
    </rPh>
    <rPh sb="2" eb="4">
      <t>ジコク</t>
    </rPh>
    <phoneticPr fontId="9"/>
  </si>
  <si>
    <t>昼休憩・
時間外労働時休憩</t>
    <rPh sb="0" eb="1">
      <t>ヒル</t>
    </rPh>
    <rPh sb="1" eb="3">
      <t>キュウケイ</t>
    </rPh>
    <rPh sb="5" eb="7">
      <t>ジカン</t>
    </rPh>
    <rPh sb="7" eb="8">
      <t>ガイ</t>
    </rPh>
    <rPh sb="8" eb="10">
      <t>ロウドウ</t>
    </rPh>
    <rPh sb="10" eb="11">
      <t>ジ</t>
    </rPh>
    <rPh sb="11" eb="13">
      <t>キュウケイ</t>
    </rPh>
    <phoneticPr fontId="9"/>
  </si>
  <si>
    <t>実働時間</t>
    <rPh sb="0" eb="1">
      <t>ミ</t>
    </rPh>
    <rPh sb="1" eb="2">
      <t>ドウ</t>
    </rPh>
    <rPh sb="2" eb="4">
      <t>ジカン</t>
    </rPh>
    <phoneticPr fontId="9"/>
  </si>
  <si>
    <t>普通残業</t>
    <rPh sb="0" eb="2">
      <t>フツウ</t>
    </rPh>
    <rPh sb="2" eb="4">
      <t>ザンギョウ</t>
    </rPh>
    <phoneticPr fontId="9"/>
  </si>
  <si>
    <t>深夜残業</t>
    <rPh sb="0" eb="2">
      <t>シンヤ</t>
    </rPh>
    <rPh sb="2" eb="4">
      <t>ザンギョウ</t>
    </rPh>
    <phoneticPr fontId="9"/>
  </si>
  <si>
    <t>遅刻</t>
    <rPh sb="0" eb="2">
      <t>チコク</t>
    </rPh>
    <phoneticPr fontId="9"/>
  </si>
  <si>
    <t>早退</t>
    <rPh sb="0" eb="2">
      <t>ソウタイ</t>
    </rPh>
    <phoneticPr fontId="9"/>
  </si>
  <si>
    <t>普通
(H)</t>
    <rPh sb="0" eb="2">
      <t>フツウ</t>
    </rPh>
    <phoneticPr fontId="9"/>
  </si>
  <si>
    <t>深夜
(H)</t>
    <rPh sb="0" eb="2">
      <t>シンヤ</t>
    </rPh>
    <phoneticPr fontId="9"/>
  </si>
  <si>
    <t>累計</t>
    <rPh sb="0" eb="2">
      <t>ルイケイ</t>
    </rPh>
    <phoneticPr fontId="9"/>
  </si>
  <si>
    <t>遅刻早退
(H)</t>
    <rPh sb="0" eb="2">
      <t>チコク</t>
    </rPh>
    <rPh sb="2" eb="4">
      <t>ソウタイ</t>
    </rPh>
    <phoneticPr fontId="9"/>
  </si>
  <si>
    <t>ｼｽﾃﾑ
受注番号</t>
    <rPh sb="5" eb="7">
      <t>ジュチュウ</t>
    </rPh>
    <rPh sb="7" eb="9">
      <t>バンゴウ</t>
    </rPh>
    <phoneticPr fontId="9"/>
  </si>
  <si>
    <t>顧客名
（ｼｽﾃﾑ名称）</t>
    <rPh sb="0" eb="2">
      <t>コキャク</t>
    </rPh>
    <rPh sb="2" eb="3">
      <t>メイ</t>
    </rPh>
    <rPh sb="9" eb="11">
      <t>メイショウ</t>
    </rPh>
    <phoneticPr fontId="9"/>
  </si>
  <si>
    <t>作業
時間</t>
    <rPh sb="0" eb="2">
      <t>サギョウ</t>
    </rPh>
    <rPh sb="3" eb="5">
      <t>ジカン</t>
    </rPh>
    <phoneticPr fontId="9"/>
  </si>
  <si>
    <t>合計
時間</t>
    <rPh sb="0" eb="2">
      <t>ゴウケイ</t>
    </rPh>
    <rPh sb="3" eb="5">
      <t>ジカン</t>
    </rPh>
    <phoneticPr fontId="9"/>
  </si>
  <si>
    <t>所定休日</t>
    <rPh sb="0" eb="2">
      <t>ショテイ</t>
    </rPh>
    <rPh sb="2" eb="4">
      <t>キュウジツ</t>
    </rPh>
    <phoneticPr fontId="9"/>
  </si>
  <si>
    <t>出勤</t>
    <rPh sb="0" eb="2">
      <t>シュッキン</t>
    </rPh>
    <phoneticPr fontId="9"/>
  </si>
  <si>
    <t>欠勤</t>
    <rPh sb="0" eb="2">
      <t>ケッキン</t>
    </rPh>
    <phoneticPr fontId="9"/>
  </si>
  <si>
    <t>時間内
勤　務</t>
    <rPh sb="0" eb="2">
      <t>ジカン</t>
    </rPh>
    <rPh sb="2" eb="3">
      <t>ナイ</t>
    </rPh>
    <rPh sb="4" eb="5">
      <t>ツトム</t>
    </rPh>
    <rPh sb="6" eb="7">
      <t>ツトム</t>
    </rPh>
    <phoneticPr fontId="9"/>
  </si>
  <si>
    <r>
      <t xml:space="preserve">不就業
</t>
    </r>
    <r>
      <rPr>
        <sz val="8"/>
        <rFont val="ＭＳ ゴシック"/>
        <family val="3"/>
        <charset val="128"/>
      </rPr>
      <t>遅・早・欠</t>
    </r>
    <rPh sb="0" eb="3">
      <t>フシュウギョウ</t>
    </rPh>
    <rPh sb="4" eb="5">
      <t>チ</t>
    </rPh>
    <rPh sb="6" eb="7">
      <t>ハヤ</t>
    </rPh>
    <rPh sb="8" eb="9">
      <t>ケツ</t>
    </rPh>
    <phoneticPr fontId="9"/>
  </si>
  <si>
    <t>当月正味就
業時間合計</t>
    <rPh sb="0" eb="2">
      <t>トウゲツ</t>
    </rPh>
    <rPh sb="2" eb="4">
      <t>ショウミ</t>
    </rPh>
    <rPh sb="4" eb="5">
      <t>シュウ</t>
    </rPh>
    <rPh sb="6" eb="7">
      <t>ギョウ</t>
    </rPh>
    <rPh sb="7" eb="9">
      <t>ジカン</t>
    </rPh>
    <rPh sb="9" eb="11">
      <t>ゴウケイ</t>
    </rPh>
    <phoneticPr fontId="9"/>
  </si>
  <si>
    <t>月額料金計算式</t>
    <rPh sb="0" eb="2">
      <t>ゲツガク</t>
    </rPh>
    <rPh sb="2" eb="4">
      <t>リョウキン</t>
    </rPh>
    <rPh sb="4" eb="6">
      <t>ケイサン</t>
    </rPh>
    <rPh sb="6" eb="7">
      <t>シキ</t>
    </rPh>
    <phoneticPr fontId="9"/>
  </si>
  <si>
    <t>項　　　目</t>
    <rPh sb="0" eb="1">
      <t>コウ</t>
    </rPh>
    <rPh sb="4" eb="5">
      <t>メ</t>
    </rPh>
    <phoneticPr fontId="9"/>
  </si>
  <si>
    <t>内　　　　　　　　　　　　訳</t>
    <rPh sb="0" eb="1">
      <t>ウチ</t>
    </rPh>
    <rPh sb="13" eb="14">
      <t>ヤク</t>
    </rPh>
    <phoneticPr fontId="9"/>
  </si>
  <si>
    <t>当月請求金額(円)</t>
    <rPh sb="0" eb="2">
      <t>トウゲツ</t>
    </rPh>
    <rPh sb="2" eb="4">
      <t>セイキュウ</t>
    </rPh>
    <rPh sb="4" eb="6">
      <t>キンガク</t>
    </rPh>
    <rPh sb="7" eb="8">
      <t>エン</t>
    </rPh>
    <phoneticPr fontId="9"/>
  </si>
  <si>
    <t>月 額 基 本 料 金</t>
    <rPh sb="0" eb="1">
      <t>ツキ</t>
    </rPh>
    <rPh sb="2" eb="3">
      <t>ガク</t>
    </rPh>
    <rPh sb="4" eb="5">
      <t>モト</t>
    </rPh>
    <rPh sb="6" eb="7">
      <t>ホン</t>
    </rPh>
    <rPh sb="8" eb="9">
      <t>リョウ</t>
    </rPh>
    <rPh sb="10" eb="11">
      <t>キン</t>
    </rPh>
    <phoneticPr fontId="9"/>
  </si>
  <si>
    <t>超 　過 　料 　金</t>
    <rPh sb="0" eb="1">
      <t>チョウ</t>
    </rPh>
    <rPh sb="3" eb="4">
      <t>カ</t>
    </rPh>
    <rPh sb="6" eb="7">
      <t>リョウ</t>
    </rPh>
    <rPh sb="9" eb="10">
      <t>キン</t>
    </rPh>
    <phoneticPr fontId="9"/>
  </si>
  <si>
    <t>控除時間相殺後</t>
    <rPh sb="0" eb="2">
      <t>コウジョ</t>
    </rPh>
    <rPh sb="2" eb="4">
      <t>ジカン</t>
    </rPh>
    <rPh sb="4" eb="6">
      <t>ソウサイ</t>
    </rPh>
    <rPh sb="6" eb="7">
      <t>ゴ</t>
    </rPh>
    <phoneticPr fontId="9"/>
  </si>
  <si>
    <t>円（普通残業）</t>
    <rPh sb="0" eb="1">
      <t>エン</t>
    </rPh>
    <rPh sb="2" eb="4">
      <t>フツウ</t>
    </rPh>
    <rPh sb="4" eb="6">
      <t>ザンギョウ</t>
    </rPh>
    <phoneticPr fontId="9"/>
  </si>
  <si>
    <t>H × @</t>
  </si>
  <si>
    <t>円（深夜残業）</t>
    <rPh sb="0" eb="1">
      <t>エン</t>
    </rPh>
    <rPh sb="2" eb="4">
      <t>シンヤ</t>
    </rPh>
    <rPh sb="4" eb="6">
      <t>ザンギョウ</t>
    </rPh>
    <phoneticPr fontId="9"/>
  </si>
  <si>
    <t>円（休日普通）</t>
    <rPh sb="0" eb="1">
      <t>エン</t>
    </rPh>
    <rPh sb="2" eb="4">
      <t>キュウジツ</t>
    </rPh>
    <rPh sb="4" eb="6">
      <t>フツウ</t>
    </rPh>
    <phoneticPr fontId="9"/>
  </si>
  <si>
    <t>円（休日深夜）</t>
    <rPh sb="0" eb="1">
      <t>エン</t>
    </rPh>
    <rPh sb="2" eb="4">
      <t>キュウジツ</t>
    </rPh>
    <rPh sb="4" eb="6">
      <t>シンヤ</t>
    </rPh>
    <phoneticPr fontId="9"/>
  </si>
  <si>
    <t>控除料金（不就業）</t>
    <rPh sb="0" eb="2">
      <t>コウジョ</t>
    </rPh>
    <rPh sb="2" eb="4">
      <t>リョウキン</t>
    </rPh>
    <rPh sb="5" eb="8">
      <t>フシュウギョウ</t>
    </rPh>
    <phoneticPr fontId="9"/>
  </si>
  <si>
    <t>普通残業相殺後</t>
    <rPh sb="0" eb="2">
      <t>フツウ</t>
    </rPh>
    <rPh sb="2" eb="4">
      <t>ザンギョウ</t>
    </rPh>
    <rPh sb="4" eb="6">
      <t>ソウサイ</t>
    </rPh>
    <rPh sb="6" eb="7">
      <t>ゴ</t>
    </rPh>
    <phoneticPr fontId="9"/>
  </si>
  <si>
    <t>円（不就業）</t>
    <rPh sb="0" eb="1">
      <t>エン</t>
    </rPh>
    <rPh sb="2" eb="5">
      <t>フシュウギョウ</t>
    </rPh>
    <phoneticPr fontId="9"/>
  </si>
  <si>
    <t>合　　　計</t>
    <rPh sb="0" eb="1">
      <t>ゴウ</t>
    </rPh>
    <rPh sb="4" eb="5">
      <t>ケイ</t>
    </rPh>
    <phoneticPr fontId="9"/>
  </si>
  <si>
    <t>通常勤務(A)は記入不要</t>
    <rPh sb="0" eb="2">
      <t>ツウジョウ</t>
    </rPh>
    <rPh sb="2" eb="4">
      <t>キンム</t>
    </rPh>
    <rPh sb="8" eb="10">
      <t>キニュウ</t>
    </rPh>
    <rPh sb="10" eb="12">
      <t>フヨウ</t>
    </rPh>
    <phoneticPr fontId="9"/>
  </si>
  <si>
    <t xml:space="preserve"> ≪限度時間超え回数≫ 通常協定を超えた月には「〇」を記入して下さい。（　＊特別な事情が生じた場合の協定以内を厳守　）</t>
    <rPh sb="2" eb="4">
      <t>ゲンド</t>
    </rPh>
    <rPh sb="4" eb="6">
      <t>ジカン</t>
    </rPh>
    <rPh sb="6" eb="7">
      <t>コ</t>
    </rPh>
    <rPh sb="8" eb="10">
      <t>カイスウ</t>
    </rPh>
    <rPh sb="12" eb="14">
      <t>ツウジョウ</t>
    </rPh>
    <rPh sb="14" eb="16">
      <t>キョウテイ</t>
    </rPh>
    <rPh sb="17" eb="18">
      <t>コ</t>
    </rPh>
    <rPh sb="20" eb="21">
      <t>ツキ</t>
    </rPh>
    <rPh sb="27" eb="29">
      <t>キニュウ</t>
    </rPh>
    <rPh sb="31" eb="32">
      <t>クダ</t>
    </rPh>
    <rPh sb="38" eb="40">
      <t>トクベツ</t>
    </rPh>
    <rPh sb="50" eb="52">
      <t>キョウテイ</t>
    </rPh>
    <rPh sb="52" eb="54">
      <t>イナイ</t>
    </rPh>
    <rPh sb="55" eb="57">
      <t>ゲンシュ</t>
    </rPh>
    <phoneticPr fontId="17"/>
  </si>
  <si>
    <t>⑥36協定</t>
    <rPh sb="3" eb="5">
      <t>キョウテイ</t>
    </rPh>
    <phoneticPr fontId="9"/>
  </si>
  <si>
    <t>通　常　協　定</t>
    <rPh sb="0" eb="1">
      <t>ツウ</t>
    </rPh>
    <rPh sb="2" eb="3">
      <t>ツネ</t>
    </rPh>
    <rPh sb="4" eb="5">
      <t>キョウ</t>
    </rPh>
    <rPh sb="6" eb="7">
      <t>サダム</t>
    </rPh>
    <phoneticPr fontId="9"/>
  </si>
  <si>
    <t>特別な事情が生じた場合の協定</t>
    <rPh sb="0" eb="1">
      <t>トク</t>
    </rPh>
    <rPh sb="1" eb="2">
      <t>ベツ</t>
    </rPh>
    <rPh sb="3" eb="5">
      <t>ジジョウ</t>
    </rPh>
    <rPh sb="6" eb="7">
      <t>ショウ</t>
    </rPh>
    <rPh sb="9" eb="11">
      <t>バアイ</t>
    </rPh>
    <rPh sb="12" eb="13">
      <t>キョウ</t>
    </rPh>
    <rPh sb="13" eb="14">
      <t>サダム</t>
    </rPh>
    <phoneticPr fontId="9"/>
  </si>
  <si>
    <t>１日につき</t>
    <rPh sb="1" eb="2">
      <t>ヒ</t>
    </rPh>
    <phoneticPr fontId="9"/>
  </si>
  <si>
    <t>1ヶ月につき
年間</t>
    <rPh sb="2" eb="3">
      <t>ゲツ</t>
    </rPh>
    <rPh sb="7" eb="9">
      <t>ネンカン</t>
    </rPh>
    <phoneticPr fontId="9"/>
  </si>
  <si>
    <r>
      <t>休日就業</t>
    </r>
    <r>
      <rPr>
        <sz val="9"/>
        <rFont val="ＭＳ ゴシック"/>
        <family val="3"/>
        <charset val="128"/>
      </rPr>
      <t xml:space="preserve">
</t>
    </r>
    <r>
      <rPr>
        <sz val="6.5"/>
        <rFont val="ＭＳ ゴシック"/>
        <family val="3"/>
        <charset val="128"/>
      </rPr>
      <t>1ヶ月につき</t>
    </r>
    <rPh sb="0" eb="2">
      <t>キュウジツ</t>
    </rPh>
    <rPh sb="2" eb="4">
      <t>シュウギョウ</t>
    </rPh>
    <phoneticPr fontId="9"/>
  </si>
  <si>
    <t>時間外と
休日の合計</t>
    <rPh sb="0" eb="3">
      <t>ジカンガイ</t>
    </rPh>
    <rPh sb="5" eb="7">
      <t>キュウジツ</t>
    </rPh>
    <rPh sb="8" eb="10">
      <t>ゴウケイ</t>
    </rPh>
    <phoneticPr fontId="9"/>
  </si>
  <si>
    <t>1ヶ月につき
　　年間</t>
    <rPh sb="2" eb="3">
      <t>ゲツ</t>
    </rPh>
    <rPh sb="9" eb="11">
      <t>ネンカン</t>
    </rPh>
    <phoneticPr fontId="9"/>
  </si>
  <si>
    <t>累計</t>
    <rPh sb="0" eb="2">
      <t>ルイケイ</t>
    </rPh>
    <phoneticPr fontId="19"/>
  </si>
  <si>
    <t>時間外（休日出勤を含む）時間</t>
    <rPh sb="0" eb="3">
      <t>ジカンガイ</t>
    </rPh>
    <rPh sb="4" eb="6">
      <t>キュウジツ</t>
    </rPh>
    <rPh sb="6" eb="8">
      <t>シュッキン</t>
    </rPh>
    <rPh sb="9" eb="10">
      <t>フク</t>
    </rPh>
    <rPh sb="12" eb="14">
      <t>ジカン</t>
    </rPh>
    <phoneticPr fontId="9"/>
  </si>
  <si>
    <t>累　　計</t>
    <rPh sb="0" eb="1">
      <t>ルイ</t>
    </rPh>
    <rPh sb="3" eb="4">
      <t>ケイ</t>
    </rPh>
    <phoneticPr fontId="9"/>
  </si>
  <si>
    <t>通常協定を
超えた月に○印</t>
    <rPh sb="0" eb="2">
      <t>ツウジョウ</t>
    </rPh>
    <rPh sb="2" eb="4">
      <t>キョウテイ</t>
    </rPh>
    <rPh sb="6" eb="7">
      <t>コ</t>
    </rPh>
    <rPh sb="9" eb="10">
      <t>ツキ</t>
    </rPh>
    <rPh sb="12" eb="13">
      <t>シルシ</t>
    </rPh>
    <phoneticPr fontId="9"/>
  </si>
  <si>
    <t>間接作業</t>
    <rPh sb="0" eb="2">
      <t>カンセツ</t>
    </rPh>
    <rPh sb="2" eb="4">
      <t>サギョウ</t>
    </rPh>
    <phoneticPr fontId="9"/>
  </si>
  <si>
    <t xml:space="preserve"> ※【　時間外労働実施の際の休憩取得　】</t>
    <rPh sb="4" eb="7">
      <t>ジカンガイ</t>
    </rPh>
    <rPh sb="7" eb="9">
      <t>ロウドウ</t>
    </rPh>
    <rPh sb="9" eb="11">
      <t>ジッシ</t>
    </rPh>
    <rPh sb="12" eb="13">
      <t>サイ</t>
    </rPh>
    <rPh sb="14" eb="16">
      <t>キュウケイ</t>
    </rPh>
    <rPh sb="16" eb="18">
      <t>シュトク</t>
    </rPh>
    <phoneticPr fontId="26"/>
  </si>
  <si>
    <t>始業前の「早出」の場合は、始業時刻前に5分間の休憩時間（無給）を必ず取得して下さい。</t>
    <rPh sb="0" eb="2">
      <t>シギョウ</t>
    </rPh>
    <rPh sb="2" eb="3">
      <t>マエ</t>
    </rPh>
    <rPh sb="25" eb="27">
      <t>ジカン</t>
    </rPh>
    <rPh sb="28" eb="30">
      <t>ムキュウ</t>
    </rPh>
    <rPh sb="32" eb="33">
      <t>カナラ</t>
    </rPh>
    <rPh sb="38" eb="39">
      <t>クダ</t>
    </rPh>
    <phoneticPr fontId="9"/>
  </si>
  <si>
    <t>構成比</t>
    <rPh sb="0" eb="2">
      <t>コウセイ</t>
    </rPh>
    <rPh sb="2" eb="3">
      <t>ヒ</t>
    </rPh>
    <phoneticPr fontId="9"/>
  </si>
  <si>
    <t>終業後の「残業」の場合は、作業開始前に15分間の休憩時間(無給)を必ず取得して下さい。</t>
    <rPh sb="0" eb="2">
      <t>シュウギョウ</t>
    </rPh>
    <rPh sb="2" eb="3">
      <t>ゴ</t>
    </rPh>
    <rPh sb="5" eb="7">
      <t>ザンギョウ</t>
    </rPh>
    <rPh sb="9" eb="11">
      <t>バアイ</t>
    </rPh>
    <phoneticPr fontId="9"/>
  </si>
  <si>
    <r>
      <t>当　　月　　計　</t>
    </r>
    <r>
      <rPr>
        <b/>
        <sz val="11"/>
        <rFont val="ＭＳ ゴシック"/>
        <family val="3"/>
        <charset val="128"/>
      </rPr>
      <t>（5・7・10・12月限）</t>
    </r>
    <rPh sb="0" eb="1">
      <t>トウ</t>
    </rPh>
    <rPh sb="3" eb="4">
      <t>ツキ</t>
    </rPh>
    <rPh sb="6" eb="7">
      <t>ケイ</t>
    </rPh>
    <rPh sb="18" eb="19">
      <t>ガツ</t>
    </rPh>
    <rPh sb="19" eb="20">
      <t>キリ</t>
    </rPh>
    <phoneticPr fontId="9"/>
  </si>
  <si>
    <r>
      <t>当　　月　　計　</t>
    </r>
    <r>
      <rPr>
        <b/>
        <sz val="11"/>
        <rFont val="ＭＳ ゴシック"/>
        <family val="3"/>
        <charset val="128"/>
      </rPr>
      <t>（3月限）</t>
    </r>
    <rPh sb="0" eb="1">
      <t>トウ</t>
    </rPh>
    <rPh sb="3" eb="4">
      <t>ツキ</t>
    </rPh>
    <rPh sb="6" eb="7">
      <t>ケイ</t>
    </rPh>
    <rPh sb="10" eb="11">
      <t>ガツ</t>
    </rPh>
    <rPh sb="11" eb="12">
      <t>キリ</t>
    </rPh>
    <phoneticPr fontId="9"/>
  </si>
  <si>
    <t>-</t>
  </si>
  <si>
    <t>日</t>
    <rPh sb="0" eb="1">
      <t>ヒ</t>
    </rPh>
    <phoneticPr fontId="2"/>
  </si>
  <si>
    <t>コード</t>
    <phoneticPr fontId="2"/>
  </si>
  <si>
    <t>見積番号</t>
    <rPh sb="0" eb="2">
      <t>ミツモリ</t>
    </rPh>
    <rPh sb="2" eb="4">
      <t>バンゴウ</t>
    </rPh>
    <phoneticPr fontId="2"/>
  </si>
  <si>
    <t>■ 6：ソフトサポート</t>
    <phoneticPr fontId="2"/>
  </si>
  <si>
    <r>
      <t>当　　月　　計　</t>
    </r>
    <r>
      <rPr>
        <b/>
        <sz val="11"/>
        <rFont val="ＭＳ ゴシック"/>
        <family val="3"/>
        <charset val="128"/>
      </rPr>
      <t xml:space="preserve"> (1・2・4・6・8・9・11月限)</t>
    </r>
    <rPh sb="0" eb="1">
      <t>トウ</t>
    </rPh>
    <rPh sb="3" eb="4">
      <t>ツキ</t>
    </rPh>
    <rPh sb="6" eb="7">
      <t>ケイ</t>
    </rPh>
    <rPh sb="24" eb="25">
      <t>ガツ</t>
    </rPh>
    <rPh sb="25" eb="26">
      <t>キリ</t>
    </rPh>
    <phoneticPr fontId="9"/>
  </si>
  <si>
    <t>合　　　　計</t>
    <rPh sb="0" eb="1">
      <t>ゴウ</t>
    </rPh>
    <rPh sb="5" eb="6">
      <t>ケイ</t>
    </rPh>
    <phoneticPr fontId="9"/>
  </si>
  <si>
    <t>普通(H)</t>
    <phoneticPr fontId="9"/>
  </si>
  <si>
    <t>所長</t>
    <rPh sb="0" eb="2">
      <t>ショチョウ</t>
    </rPh>
    <phoneticPr fontId="2"/>
  </si>
  <si>
    <t>参事</t>
    <rPh sb="0" eb="2">
      <t>サンジ</t>
    </rPh>
    <phoneticPr fontId="2"/>
  </si>
  <si>
    <t>ＦＩＸ交通費</t>
    <rPh sb="3" eb="6">
      <t>コウツウヒ</t>
    </rPh>
    <phoneticPr fontId="2"/>
  </si>
  <si>
    <t>ＳＭＪ
責任者
検印欄</t>
    <rPh sb="4" eb="7">
      <t>セキニンシャ</t>
    </rPh>
    <rPh sb="8" eb="10">
      <t>ケンイン</t>
    </rPh>
    <rPh sb="10" eb="11">
      <t>ラン</t>
    </rPh>
    <phoneticPr fontId="9"/>
  </si>
  <si>
    <t>FIX</t>
  </si>
  <si>
    <t>派遣社員（交通費）</t>
    <phoneticPr fontId="2"/>
  </si>
  <si>
    <t>■ 6：ソフトサポート</t>
    <phoneticPr fontId="2"/>
  </si>
  <si>
    <t>□ 9：交通費</t>
    <phoneticPr fontId="2"/>
  </si>
  <si>
    <t>■ 6：ソフトサポート</t>
    <phoneticPr fontId="2"/>
  </si>
  <si>
    <t>派遣社員　保守（交通費）</t>
    <phoneticPr fontId="2"/>
  </si>
  <si>
    <t>□ 6：ソフトサポート</t>
    <phoneticPr fontId="2"/>
  </si>
  <si>
    <t>■ 9：交通費</t>
    <phoneticPr fontId="2"/>
  </si>
  <si>
    <t>SDM　INPUT票</t>
    <phoneticPr fontId="2"/>
  </si>
  <si>
    <t>SDM　INPUT票</t>
    <phoneticPr fontId="2"/>
  </si>
  <si>
    <t>会社名</t>
    <rPh sb="0" eb="3">
      <t>カイシャメイ</t>
    </rPh>
    <phoneticPr fontId="2"/>
  </si>
  <si>
    <t>パラメータシート</t>
    <phoneticPr fontId="2"/>
  </si>
  <si>
    <t>氏名</t>
    <rPh sb="0" eb="2">
      <t>シメイ</t>
    </rPh>
    <phoneticPr fontId="2"/>
  </si>
  <si>
    <t>外注先コード</t>
    <rPh sb="0" eb="3">
      <t>ガイチュウサキ</t>
    </rPh>
    <phoneticPr fontId="2"/>
  </si>
  <si>
    <t>請求書</t>
    <rPh sb="0" eb="3">
      <t>セイキュウショ</t>
    </rPh>
    <phoneticPr fontId="2"/>
  </si>
  <si>
    <t>日付</t>
    <rPh sb="0" eb="2">
      <t>ヒヅケ</t>
    </rPh>
    <phoneticPr fontId="2"/>
  </si>
  <si>
    <t>名前</t>
    <rPh sb="0" eb="2">
      <t>ナマエ</t>
    </rPh>
    <phoneticPr fontId="2"/>
  </si>
  <si>
    <t>ユーザー</t>
    <phoneticPr fontId="2"/>
  </si>
  <si>
    <t>案件名</t>
    <rPh sb="0" eb="2">
      <t>アンケン</t>
    </rPh>
    <rPh sb="2" eb="3">
      <t>メイ</t>
    </rPh>
    <phoneticPr fontId="2"/>
  </si>
  <si>
    <t>金額</t>
    <rPh sb="0" eb="2">
      <t>キンガク</t>
    </rPh>
    <phoneticPr fontId="2"/>
  </si>
  <si>
    <t>超過</t>
    <rPh sb="0" eb="2">
      <t>チョウカ</t>
    </rPh>
    <phoneticPr fontId="2"/>
  </si>
  <si>
    <t>控除</t>
    <rPh sb="0" eb="2">
      <t>コウジョ</t>
    </rPh>
    <phoneticPr fontId="2"/>
  </si>
  <si>
    <t>？ＭＡＮ</t>
    <phoneticPr fontId="2"/>
  </si>
  <si>
    <t>固定</t>
    <rPh sb="0" eb="2">
      <t>コテイ</t>
    </rPh>
    <phoneticPr fontId="2"/>
  </si>
  <si>
    <t>請求額</t>
    <rPh sb="0" eb="2">
      <t>セイキュウ</t>
    </rPh>
    <rPh sb="2" eb="3">
      <t>ガク</t>
    </rPh>
    <phoneticPr fontId="2"/>
  </si>
  <si>
    <t>合計（税抜）</t>
    <rPh sb="0" eb="2">
      <t>ゴウケイ</t>
    </rPh>
    <rPh sb="3" eb="4">
      <t>ゼイ</t>
    </rPh>
    <rPh sb="4" eb="5">
      <t>ヌ</t>
    </rPh>
    <phoneticPr fontId="2"/>
  </si>
  <si>
    <t>消費税</t>
    <rPh sb="0" eb="3">
      <t>ショウヒゼイ</t>
    </rPh>
    <phoneticPr fontId="2"/>
  </si>
  <si>
    <t>合計（税込）</t>
    <rPh sb="0" eb="2">
      <t>ゴウケイ</t>
    </rPh>
    <rPh sb="3" eb="5">
      <t>ゼイコミ</t>
    </rPh>
    <phoneticPr fontId="2"/>
  </si>
  <si>
    <t>区分</t>
    <rPh sb="0" eb="2">
      <t>クブン</t>
    </rPh>
    <phoneticPr fontId="2"/>
  </si>
  <si>
    <t>作業(通常)</t>
    <rPh sb="0" eb="2">
      <t>サギョウ</t>
    </rPh>
    <rPh sb="3" eb="5">
      <t>ツウジョウ</t>
    </rPh>
    <phoneticPr fontId="2"/>
  </si>
  <si>
    <t>作業(保守)</t>
    <rPh sb="0" eb="2">
      <t>サギョウ</t>
    </rPh>
    <rPh sb="3" eb="5">
      <t>ホシュ</t>
    </rPh>
    <phoneticPr fontId="2"/>
  </si>
  <si>
    <t>交通費(通常)</t>
    <rPh sb="0" eb="3">
      <t>コウツウヒ</t>
    </rPh>
    <rPh sb="4" eb="6">
      <t>ツウジョウ</t>
    </rPh>
    <phoneticPr fontId="2"/>
  </si>
  <si>
    <t>交通費(保守)</t>
    <rPh sb="0" eb="3">
      <t>コウツウヒ</t>
    </rPh>
    <rPh sb="4" eb="6">
      <t>ホシュ</t>
    </rPh>
    <phoneticPr fontId="2"/>
  </si>
  <si>
    <t>601</t>
    <phoneticPr fontId="2"/>
  </si>
  <si>
    <t>609</t>
    <phoneticPr fontId="2"/>
  </si>
  <si>
    <t>区分別合計</t>
    <rPh sb="0" eb="2">
      <t>クブン</t>
    </rPh>
    <rPh sb="2" eb="3">
      <t>ベツ</t>
    </rPh>
    <rPh sb="3" eb="5">
      <t>ゴウケイ</t>
    </rPh>
    <phoneticPr fontId="2"/>
  </si>
  <si>
    <t>消費税(0固定)</t>
    <rPh sb="0" eb="3">
      <t>ショウヒゼイ</t>
    </rPh>
    <rPh sb="5" eb="7">
      <t>コテイ</t>
    </rPh>
    <phoneticPr fontId="2"/>
  </si>
  <si>
    <t>作業(通常)合計</t>
    <rPh sb="0" eb="2">
      <t>サギョウ</t>
    </rPh>
    <rPh sb="3" eb="5">
      <t>ツウジョウ</t>
    </rPh>
    <rPh sb="6" eb="8">
      <t>ゴウケイ</t>
    </rPh>
    <phoneticPr fontId="2"/>
  </si>
  <si>
    <t>交通費(通常)合計</t>
    <rPh sb="0" eb="3">
      <t>コウツウヒ</t>
    </rPh>
    <rPh sb="4" eb="6">
      <t>ツウジョウ</t>
    </rPh>
    <rPh sb="7" eb="9">
      <t>ゴウケイ</t>
    </rPh>
    <phoneticPr fontId="2"/>
  </si>
  <si>
    <t>作業(保守)合計</t>
    <rPh sb="0" eb="2">
      <t>サギョウ</t>
    </rPh>
    <rPh sb="3" eb="5">
      <t>ホシュ</t>
    </rPh>
    <rPh sb="6" eb="8">
      <t>ゴウケイ</t>
    </rPh>
    <phoneticPr fontId="2"/>
  </si>
  <si>
    <t>交通費(保守)合計</t>
    <rPh sb="0" eb="3">
      <t>コウツウヒ</t>
    </rPh>
    <rPh sb="4" eb="6">
      <t>ホシュ</t>
    </rPh>
    <rPh sb="7" eb="9">
      <t>ゴウケイ</t>
    </rPh>
    <phoneticPr fontId="2"/>
  </si>
  <si>
    <t>シャープマーケティングジャパン株式会社</t>
    <phoneticPr fontId="2"/>
  </si>
  <si>
    <t>No.1/1</t>
    <phoneticPr fontId="2"/>
  </si>
  <si>
    <t>出 張 交 通 費 明 細 書</t>
    <phoneticPr fontId="2"/>
  </si>
  <si>
    <t>所　属</t>
  </si>
  <si>
    <t>請求者</t>
  </si>
  <si>
    <t>受領印</t>
  </si>
  <si>
    <t>月/日</t>
  </si>
  <si>
    <t>外 出 時 間</t>
  </si>
  <si>
    <t>外    出    先</t>
  </si>
  <si>
    <t>交 通 費(含 電 話 料)</t>
  </si>
  <si>
    <t>日 当</t>
  </si>
  <si>
    <t>宿 泊</t>
    <rPh sb="0" eb="3">
      <t>シュクハク</t>
    </rPh>
    <phoneticPr fontId="2"/>
  </si>
  <si>
    <t>計</t>
  </si>
  <si>
    <t>（外  出  理  由）</t>
  </si>
  <si>
    <t>明      細</t>
  </si>
  <si>
    <t>小               計</t>
    <rPh sb="0" eb="1">
      <t>ショウ</t>
    </rPh>
    <rPh sb="16" eb="17">
      <t>ケイ</t>
    </rPh>
    <phoneticPr fontId="2"/>
  </si>
  <si>
    <t>統轄(次)長</t>
  </si>
  <si>
    <t>部  長</t>
  </si>
  <si>
    <t>課　長</t>
  </si>
  <si>
    <t>課  長</t>
  </si>
  <si>
    <t>距離</t>
    <rPh sb="0" eb="2">
      <t>キョリ</t>
    </rPh>
    <phoneticPr fontId="2"/>
  </si>
  <si>
    <t>請求分</t>
    <rPh sb="0" eb="2">
      <t>セイキュウ</t>
    </rPh>
    <rPh sb="2" eb="3">
      <t>ブン</t>
    </rPh>
    <phoneticPr fontId="2"/>
  </si>
  <si>
    <t>案件コード</t>
    <rPh sb="0" eb="2">
      <t>アンケン</t>
    </rPh>
    <phoneticPr fontId="2"/>
  </si>
  <si>
    <t>部門コード</t>
    <rPh sb="0" eb="2">
      <t>ブモン</t>
    </rPh>
    <phoneticPr fontId="2"/>
  </si>
  <si>
    <t>部門名</t>
    <rPh sb="0" eb="2">
      <t>ブモン</t>
    </rPh>
    <rPh sb="2" eb="3">
      <t>メイ</t>
    </rPh>
    <phoneticPr fontId="2"/>
  </si>
  <si>
    <t>合計</t>
    <rPh sb="0" eb="2">
      <t>ゴウケイ</t>
    </rPh>
    <phoneticPr fontId="2"/>
  </si>
  <si>
    <t>保守期間</t>
    <rPh sb="0" eb="2">
      <t>ホシュ</t>
    </rPh>
    <rPh sb="2" eb="4">
      <t>キカン</t>
    </rPh>
    <phoneticPr fontId="2"/>
  </si>
  <si>
    <t>～</t>
    <phoneticPr fontId="2"/>
  </si>
  <si>
    <t>見積番号(上位4桁)</t>
    <rPh sb="0" eb="2">
      <t>ミツモリ</t>
    </rPh>
    <rPh sb="2" eb="4">
      <t>バンゴウ</t>
    </rPh>
    <rPh sb="5" eb="7">
      <t>ジョウイ</t>
    </rPh>
    <rPh sb="8" eb="9">
      <t>ケタ</t>
    </rPh>
    <phoneticPr fontId="2"/>
  </si>
  <si>
    <t>使い方</t>
    <rPh sb="0" eb="1">
      <t>ツカ</t>
    </rPh>
    <rPh sb="2" eb="3">
      <t>カタ</t>
    </rPh>
    <phoneticPr fontId="2"/>
  </si>
  <si>
    <t>【入力シート】</t>
    <rPh sb="1" eb="3">
      <t>ニュウリョク</t>
    </rPh>
    <phoneticPr fontId="2"/>
  </si>
  <si>
    <t>　派遣先管理台帳</t>
    <rPh sb="1" eb="3">
      <t>ハケン</t>
    </rPh>
    <rPh sb="3" eb="4">
      <t>サキ</t>
    </rPh>
    <rPh sb="4" eb="6">
      <t>カンリ</t>
    </rPh>
    <rPh sb="6" eb="8">
      <t>ダイチョウ</t>
    </rPh>
    <phoneticPr fontId="2"/>
  </si>
  <si>
    <t>　交通費明細</t>
    <rPh sb="1" eb="4">
      <t>コウツウヒ</t>
    </rPh>
    <rPh sb="4" eb="6">
      <t>メイサイ</t>
    </rPh>
    <phoneticPr fontId="2"/>
  </si>
  <si>
    <t>月日～日当までは手入力</t>
    <rPh sb="0" eb="2">
      <t>ガッピ</t>
    </rPh>
    <rPh sb="3" eb="5">
      <t>ニットウ</t>
    </rPh>
    <rPh sb="8" eb="9">
      <t>テ</t>
    </rPh>
    <rPh sb="9" eb="11">
      <t>ニュウリョク</t>
    </rPh>
    <phoneticPr fontId="2"/>
  </si>
  <si>
    <t>欄外の案件コードに入力されたコードで請求内容入力シートの交通費(通常)、交通費(保守)欄に自動集計します。</t>
    <rPh sb="0" eb="2">
      <t>ランガイ</t>
    </rPh>
    <rPh sb="3" eb="5">
      <t>アンケン</t>
    </rPh>
    <rPh sb="9" eb="11">
      <t>ニュウリョク</t>
    </rPh>
    <rPh sb="18" eb="20">
      <t>セイキュウ</t>
    </rPh>
    <rPh sb="20" eb="22">
      <t>ナイヨウ</t>
    </rPh>
    <rPh sb="22" eb="24">
      <t>ニュウリョク</t>
    </rPh>
    <rPh sb="28" eb="31">
      <t>コウツウヒ</t>
    </rPh>
    <rPh sb="32" eb="34">
      <t>ツウジョウ</t>
    </rPh>
    <rPh sb="36" eb="39">
      <t>コウツウヒ</t>
    </rPh>
    <rPh sb="40" eb="42">
      <t>ホシュ</t>
    </rPh>
    <rPh sb="43" eb="44">
      <t>ラン</t>
    </rPh>
    <rPh sb="45" eb="47">
      <t>ジドウ</t>
    </rPh>
    <rPh sb="47" eb="49">
      <t>シュウケイ</t>
    </rPh>
    <phoneticPr fontId="2"/>
  </si>
  <si>
    <t>(コードはハイフンなしで入力してください。)</t>
    <rPh sb="12" eb="14">
      <t>ニュウリョク</t>
    </rPh>
    <phoneticPr fontId="2"/>
  </si>
  <si>
    <t>請求内容入力シート</t>
    <rPh sb="0" eb="2">
      <t>セイキュウ</t>
    </rPh>
    <rPh sb="2" eb="4">
      <t>ナイヨウ</t>
    </rPh>
    <rPh sb="4" eb="6">
      <t>ニュウリョク</t>
    </rPh>
    <phoneticPr fontId="2"/>
  </si>
  <si>
    <t>システム受注番号はハイフンなしで入力</t>
    <rPh sb="4" eb="6">
      <t>ジュチュウ</t>
    </rPh>
    <rPh sb="6" eb="8">
      <t>バンゴウ</t>
    </rPh>
    <rPh sb="16" eb="18">
      <t>ニュウリョク</t>
    </rPh>
    <phoneticPr fontId="2"/>
  </si>
  <si>
    <t>他の使い方は割愛します。</t>
    <rPh sb="0" eb="1">
      <t>ホカ</t>
    </rPh>
    <rPh sb="2" eb="3">
      <t>ツカ</t>
    </rPh>
    <rPh sb="4" eb="5">
      <t>カタ</t>
    </rPh>
    <rPh sb="6" eb="8">
      <t>カツアイ</t>
    </rPh>
    <phoneticPr fontId="2"/>
  </si>
  <si>
    <t>他の列は自動計算されます。</t>
    <rPh sb="0" eb="1">
      <t>ホカ</t>
    </rPh>
    <rPh sb="2" eb="3">
      <t>レツ</t>
    </rPh>
    <rPh sb="4" eb="6">
      <t>ジドウ</t>
    </rPh>
    <rPh sb="6" eb="8">
      <t>ケイサン</t>
    </rPh>
    <phoneticPr fontId="2"/>
  </si>
  <si>
    <t>作業(通常)、作業(保守)は案件コード～金額、コードを入力。(案件コードはハイフンなし)</t>
    <rPh sb="0" eb="2">
      <t>サギョウ</t>
    </rPh>
    <rPh sb="3" eb="5">
      <t>ツウジョウ</t>
    </rPh>
    <rPh sb="7" eb="9">
      <t>サギョウ</t>
    </rPh>
    <rPh sb="10" eb="12">
      <t>ホシュ</t>
    </rPh>
    <rPh sb="14" eb="16">
      <t>アンケン</t>
    </rPh>
    <rPh sb="20" eb="22">
      <t>キンガク</t>
    </rPh>
    <rPh sb="27" eb="29">
      <t>ニュウリョク</t>
    </rPh>
    <rPh sb="31" eb="33">
      <t>アンケン</t>
    </rPh>
    <phoneticPr fontId="2"/>
  </si>
  <si>
    <t>交通費(通常)、交通費(保守)は案件コード～案件名、コードを入力。(案件コードはハイフンなし)</t>
    <rPh sb="0" eb="3">
      <t>コウツウヒ</t>
    </rPh>
    <rPh sb="4" eb="6">
      <t>ツウジョウ</t>
    </rPh>
    <rPh sb="8" eb="11">
      <t>コウツウヒ</t>
    </rPh>
    <rPh sb="12" eb="14">
      <t>ホシュ</t>
    </rPh>
    <rPh sb="22" eb="24">
      <t>アンケン</t>
    </rPh>
    <rPh sb="24" eb="25">
      <t>メイ</t>
    </rPh>
    <rPh sb="30" eb="32">
      <t>ニュウリョク</t>
    </rPh>
    <phoneticPr fontId="2"/>
  </si>
  <si>
    <t>日付は請求日付を入力。</t>
    <rPh sb="0" eb="2">
      <t>ヒヅケ</t>
    </rPh>
    <rPh sb="3" eb="5">
      <t>セイキュウ</t>
    </rPh>
    <rPh sb="5" eb="7">
      <t>ヒヅケ</t>
    </rPh>
    <rPh sb="8" eb="10">
      <t>ニュウリョク</t>
    </rPh>
    <phoneticPr fontId="2"/>
  </si>
  <si>
    <t>パラメータ</t>
    <phoneticPr fontId="2"/>
  </si>
  <si>
    <t>時間内</t>
    <rPh sb="0" eb="2">
      <t>ジカン</t>
    </rPh>
    <rPh sb="2" eb="3">
      <t>ナイ</t>
    </rPh>
    <phoneticPr fontId="9"/>
  </si>
  <si>
    <t>超過</t>
    <rPh sb="0" eb="2">
      <t>チョウカ</t>
    </rPh>
    <phoneticPr fontId="9"/>
  </si>
  <si>
    <t>深夜超過</t>
    <rPh sb="0" eb="2">
      <t>シンヤ</t>
    </rPh>
    <rPh sb="2" eb="4">
      <t>チョウカ</t>
    </rPh>
    <phoneticPr fontId="9"/>
  </si>
  <si>
    <t>単価</t>
    <rPh sb="0" eb="2">
      <t>タンカ</t>
    </rPh>
    <phoneticPr fontId="9"/>
  </si>
  <si>
    <t>基本金額</t>
    <rPh sb="0" eb="2">
      <t>キホン</t>
    </rPh>
    <rPh sb="2" eb="4">
      <t>キンガク</t>
    </rPh>
    <phoneticPr fontId="9"/>
  </si>
  <si>
    <t>昼開始</t>
    <rPh sb="0" eb="1">
      <t>ヒル</t>
    </rPh>
    <rPh sb="1" eb="3">
      <t>カイシ</t>
    </rPh>
    <phoneticPr fontId="9"/>
  </si>
  <si>
    <t>控除</t>
    <rPh sb="0" eb="2">
      <t>コウジョ</t>
    </rPh>
    <phoneticPr fontId="9"/>
  </si>
  <si>
    <t>2日</t>
    <rPh sb="1" eb="2">
      <t>ヒ</t>
    </rPh>
    <phoneticPr fontId="9"/>
  </si>
  <si>
    <t>年6回迄
1日-Ｈ迄</t>
    <rPh sb="0" eb="1">
      <t>ネン</t>
    </rPh>
    <rPh sb="2" eb="3">
      <t>カイ</t>
    </rPh>
    <rPh sb="3" eb="4">
      <t>マデ</t>
    </rPh>
    <rPh sb="6" eb="7">
      <t>ニチ</t>
    </rPh>
    <rPh sb="9" eb="10">
      <t>マデ</t>
    </rPh>
    <phoneticPr fontId="9"/>
  </si>
  <si>
    <t>7月度</t>
  </si>
  <si>
    <t>8月度</t>
  </si>
  <si>
    <t>9月度</t>
  </si>
  <si>
    <t>10月度</t>
  </si>
  <si>
    <t>4月度</t>
  </si>
  <si>
    <t>5月度</t>
  </si>
  <si>
    <t>6月度</t>
  </si>
  <si>
    <t>11月度</t>
  </si>
  <si>
    <t>12月度</t>
  </si>
  <si>
    <t>1月度</t>
  </si>
  <si>
    <t>2月度</t>
  </si>
  <si>
    <t>3月度</t>
  </si>
  <si>
    <t>組織単位</t>
    <rPh sb="0" eb="2">
      <t>ソシキ</t>
    </rPh>
    <rPh sb="2" eb="4">
      <t>タンイ</t>
    </rPh>
    <phoneticPr fontId="9"/>
  </si>
  <si>
    <t>業務内容/場所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1）当日行った業務内容を記載
2）上記就業場所以外で就業した場合、その場所を記載</t>
    <phoneticPr fontId="9"/>
  </si>
  <si>
    <t>深夜(H)</t>
    <phoneticPr fontId="9"/>
  </si>
  <si>
    <t>普通(H)</t>
    <phoneticPr fontId="9"/>
  </si>
  <si>
    <t>A  9:00～17:45</t>
    <phoneticPr fontId="9"/>
  </si>
  <si>
    <t>H × @</t>
    <phoneticPr fontId="9"/>
  </si>
  <si>
    <t>B  8:00～16:45</t>
    <phoneticPr fontId="9"/>
  </si>
  <si>
    <t>C 10:00～18:45</t>
    <phoneticPr fontId="9"/>
  </si>
  <si>
    <t>D 11:00～19:45</t>
    <phoneticPr fontId="9"/>
  </si>
  <si>
    <t>E 13:00～21:45</t>
    <phoneticPr fontId="9"/>
  </si>
  <si>
    <t>45Ｈ
360Ｈ</t>
    <phoneticPr fontId="9"/>
  </si>
  <si>
    <t>10.5Ｈ</t>
    <phoneticPr fontId="9"/>
  </si>
  <si>
    <t>45Ｈ</t>
    <phoneticPr fontId="9"/>
  </si>
  <si>
    <t xml:space="preserve"> - Ｈ
 - Ｈ</t>
    <phoneticPr fontId="9"/>
  </si>
  <si>
    <t>５ＦＳＬ</t>
    <phoneticPr fontId="2"/>
  </si>
  <si>
    <t>★</t>
    <phoneticPr fontId="2"/>
  </si>
  <si>
    <t>★</t>
    <phoneticPr fontId="2"/>
  </si>
  <si>
    <t>SDM　INPUT票（控）</t>
    <rPh sb="11" eb="12">
      <t>ヒカエ</t>
    </rPh>
    <phoneticPr fontId="2"/>
  </si>
  <si>
    <t>○１部コピーし２部共捺印、原紙は請求書添付・コピーは派遣元控（写しを派遣先責任者保管）</t>
    <rPh sb="2" eb="3">
      <t>ブ</t>
    </rPh>
    <rPh sb="8" eb="9">
      <t>ブ</t>
    </rPh>
    <rPh sb="9" eb="10">
      <t>トモ</t>
    </rPh>
    <rPh sb="10" eb="12">
      <t>ナツイン</t>
    </rPh>
    <rPh sb="13" eb="15">
      <t>ゲンシ</t>
    </rPh>
    <rPh sb="16" eb="18">
      <t>セイキュウ</t>
    </rPh>
    <rPh sb="18" eb="19">
      <t>ショ</t>
    </rPh>
    <rPh sb="19" eb="21">
      <t>テンプ</t>
    </rPh>
    <rPh sb="26" eb="29">
      <t>ハケンモト</t>
    </rPh>
    <rPh sb="29" eb="30">
      <t>ヒカエ</t>
    </rPh>
    <rPh sb="31" eb="32">
      <t>ウツ</t>
    </rPh>
    <rPh sb="34" eb="36">
      <t>ハケン</t>
    </rPh>
    <rPh sb="36" eb="37">
      <t>サキ</t>
    </rPh>
    <rPh sb="37" eb="40">
      <t>セキニンシャ</t>
    </rPh>
    <rPh sb="40" eb="42">
      <t>ホカン</t>
    </rPh>
    <phoneticPr fontId="9"/>
  </si>
  <si>
    <t>組織単位の抵触日</t>
  </si>
  <si>
    <t>業務に伴う責任の程度</t>
    <rPh sb="0" eb="2">
      <t>ギョウム</t>
    </rPh>
    <rPh sb="3" eb="4">
      <t>トモナ</t>
    </rPh>
    <rPh sb="5" eb="7">
      <t>セキニン</t>
    </rPh>
    <rPh sb="8" eb="10">
      <t>テイド</t>
    </rPh>
    <phoneticPr fontId="9"/>
  </si>
  <si>
    <t>役職なし</t>
    <rPh sb="0" eb="2">
      <t>ヤクショク</t>
    </rPh>
    <phoneticPr fontId="9"/>
  </si>
  <si>
    <t>　ー年　ー月　ー日</t>
  </si>
  <si>
    <t>超過料金発生</t>
    <rPh sb="0" eb="2">
      <t>チョウカ</t>
    </rPh>
    <rPh sb="2" eb="4">
      <t>リョウキン</t>
    </rPh>
    <rPh sb="4" eb="6">
      <t>ハッセイ</t>
    </rPh>
    <phoneticPr fontId="2"/>
  </si>
  <si>
    <t>普通残業</t>
    <rPh sb="0" eb="2">
      <t>フツウ</t>
    </rPh>
    <rPh sb="2" eb="4">
      <t>ザンギョウ</t>
    </rPh>
    <phoneticPr fontId="2"/>
  </si>
  <si>
    <t>深夜残業</t>
    <rPh sb="0" eb="2">
      <t>シンヤ</t>
    </rPh>
    <rPh sb="2" eb="4">
      <t>ザンギョウ</t>
    </rPh>
    <phoneticPr fontId="2"/>
  </si>
  <si>
    <t>休日普通</t>
    <rPh sb="0" eb="2">
      <t>キュウジツ</t>
    </rPh>
    <rPh sb="2" eb="4">
      <t>フツウ</t>
    </rPh>
    <phoneticPr fontId="2"/>
  </si>
  <si>
    <t>休日深夜</t>
    <rPh sb="0" eb="2">
      <t>キュウジツ</t>
    </rPh>
    <rPh sb="2" eb="4">
      <t>シンヤ</t>
    </rPh>
    <phoneticPr fontId="2"/>
  </si>
  <si>
    <t>※UCSは契約上、深夜残業も休日出勤も超過の相殺対象となっている</t>
    <phoneticPr fontId="2"/>
  </si>
  <si>
    <t>普通
残業</t>
    <rPh sb="0" eb="2">
      <t>フツウ</t>
    </rPh>
    <rPh sb="3" eb="5">
      <t>ザンギョウ</t>
    </rPh>
    <phoneticPr fontId="2"/>
  </si>
  <si>
    <t>普通
深夜</t>
    <rPh sb="0" eb="2">
      <t>フツウ</t>
    </rPh>
    <rPh sb="3" eb="5">
      <t>シンヤ</t>
    </rPh>
    <phoneticPr fontId="2"/>
  </si>
  <si>
    <t>休日</t>
    <rPh sb="0" eb="2">
      <t>キュウジツ</t>
    </rPh>
    <phoneticPr fontId="2"/>
  </si>
  <si>
    <t>休日
深夜</t>
    <rPh sb="0" eb="2">
      <t>キュウジツ</t>
    </rPh>
    <rPh sb="3" eb="5">
      <t>シンヤ</t>
    </rPh>
    <phoneticPr fontId="2"/>
  </si>
  <si>
    <t>作業時間</t>
    <rPh sb="0" eb="2">
      <t>サギョウ</t>
    </rPh>
    <rPh sb="2" eb="4">
      <t>ジカン</t>
    </rPh>
    <phoneticPr fontId="2"/>
  </si>
  <si>
    <t>相殺後</t>
    <rPh sb="0" eb="2">
      <t>ソウサイ</t>
    </rPh>
    <rPh sb="2" eb="3">
      <t>ゴ</t>
    </rPh>
    <phoneticPr fontId="2"/>
  </si>
  <si>
    <t>合計</t>
    <rPh sb="0" eb="2">
      <t>ゴウケイ</t>
    </rPh>
    <phoneticPr fontId="2"/>
  </si>
  <si>
    <t>SMJ派遣責任者検印欄を変更する場合は数式を修正してください。</t>
    <rPh sb="3" eb="5">
      <t>ハケン</t>
    </rPh>
    <rPh sb="5" eb="8">
      <t>セキニンシャ</t>
    </rPh>
    <rPh sb="8" eb="10">
      <t>ケンイン</t>
    </rPh>
    <rPh sb="10" eb="11">
      <t>ラン</t>
    </rPh>
    <rPh sb="12" eb="14">
      <t>ヘンコウ</t>
    </rPh>
    <rPh sb="16" eb="18">
      <t>バアイ</t>
    </rPh>
    <rPh sb="19" eb="21">
      <t>スウシキ</t>
    </rPh>
    <rPh sb="22" eb="24">
      <t>シュウセイ</t>
    </rPh>
    <phoneticPr fontId="2"/>
  </si>
  <si>
    <t>202102修正版</t>
    <rPh sb="6" eb="8">
      <t>シュウセイ</t>
    </rPh>
    <rPh sb="8" eb="9">
      <t>バン</t>
    </rPh>
    <phoneticPr fontId="2"/>
  </si>
  <si>
    <t>単価が深夜、休出など種類によって異なる場合も、必ず数式を修正してください。</t>
    <rPh sb="23" eb="24">
      <t>カナラ</t>
    </rPh>
    <phoneticPr fontId="2"/>
  </si>
  <si>
    <t>以下のセルは会社/個人ごとに修正してください。</t>
    <rPh sb="0" eb="2">
      <t>イカ</t>
    </rPh>
    <rPh sb="6" eb="8">
      <t>カイシャ</t>
    </rPh>
    <rPh sb="9" eb="11">
      <t>コジン</t>
    </rPh>
    <rPh sb="14" eb="16">
      <t>シュウセイ</t>
    </rPh>
    <phoneticPr fontId="2"/>
  </si>
  <si>
    <t>超過時間の算出式は会社ごとに異なるので、必ず自社の算出式に修正してください。</t>
    <rPh sb="0" eb="2">
      <t>チョウカ</t>
    </rPh>
    <rPh sb="2" eb="4">
      <t>ジカン</t>
    </rPh>
    <rPh sb="5" eb="7">
      <t>サンシュツ</t>
    </rPh>
    <rPh sb="7" eb="8">
      <t>シキ</t>
    </rPh>
    <rPh sb="9" eb="11">
      <t>カイシャ</t>
    </rPh>
    <rPh sb="14" eb="15">
      <t>コト</t>
    </rPh>
    <rPh sb="20" eb="21">
      <t>カナラ</t>
    </rPh>
    <rPh sb="22" eb="24">
      <t>ジシャ</t>
    </rPh>
    <rPh sb="25" eb="27">
      <t>サンシュツ</t>
    </rPh>
    <rPh sb="27" eb="28">
      <t>シキ</t>
    </rPh>
    <rPh sb="29" eb="31">
      <t>シュウセイ</t>
    </rPh>
    <phoneticPr fontId="2"/>
  </si>
  <si>
    <t>PGFL</t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</si>
  <si>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</si>
  <si>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</si>
  <si>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</si>
  <si>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</si>
  <si>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</si>
  <si>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★</t>
    <phoneticPr fontId="2"/>
  </si>
  <si>
    <t>超過
START</t>
    <rPh sb="0" eb="2">
      <t>チョウカ</t>
    </rPh>
    <phoneticPr fontId="2"/>
  </si>
  <si>
    <t>シャープマーケティングジャパン株式会社</t>
    <phoneticPr fontId="9"/>
  </si>
  <si>
    <t>千葉県千葉市美浜区中瀬 1-9-2 シャープ幕張ビル</t>
    <phoneticPr fontId="2"/>
  </si>
  <si>
    <t>鎌田　克</t>
    <phoneticPr fontId="9"/>
  </si>
  <si>
    <t>企業システム開発部 第2開発センター</t>
    <phoneticPr fontId="2"/>
  </si>
  <si>
    <t>ソリューション開発統轄部 企業システム開発部 第2開発センター</t>
    <phoneticPr fontId="2"/>
  </si>
  <si>
    <t>受注活動</t>
    <rPh sb="0" eb="4">
      <t>ジュチュウカツドウ</t>
    </rPh>
    <phoneticPr fontId="2"/>
  </si>
  <si>
    <t>001/009</t>
    <phoneticPr fontId="2"/>
  </si>
  <si>
    <t>構成比</t>
    <rPh sb="0" eb="3">
      <t>コウセイヒ</t>
    </rPh>
    <phoneticPr fontId="2"/>
  </si>
  <si>
    <t>就業管理台帳</t>
    <rPh sb="0" eb="2">
      <t>シュウギョウ</t>
    </rPh>
    <rPh sb="2" eb="4">
      <t>カンリ</t>
    </rPh>
    <rPh sb="4" eb="6">
      <t>ダイチョウ</t>
    </rPh>
    <phoneticPr fontId="2"/>
  </si>
  <si>
    <t>調整用</t>
    <rPh sb="0" eb="2">
      <t>チョウセイ</t>
    </rPh>
    <rPh sb="2" eb="3">
      <t>ヨウ</t>
    </rPh>
    <phoneticPr fontId="2"/>
  </si>
  <si>
    <t>作業時間</t>
    <rPh sb="0" eb="2">
      <t>サギョウ</t>
    </rPh>
    <rPh sb="2" eb="4">
      <t>ジカン</t>
    </rPh>
    <phoneticPr fontId="2"/>
  </si>
  <si>
    <t>構成比</t>
    <rPh sb="0" eb="3">
      <t>コウセイヒ</t>
    </rPh>
    <phoneticPr fontId="2"/>
  </si>
  <si>
    <t>ｼｽﾃﾑ受注番号</t>
    <rPh sb="4" eb="6">
      <t>ジュチュウ</t>
    </rPh>
    <rPh sb="6" eb="8">
      <t>バンゴウ</t>
    </rPh>
    <phoneticPr fontId="2"/>
  </si>
  <si>
    <t>顧客名(ｼｽﾃﾑ名)</t>
    <rPh sb="0" eb="2">
      <t>コキャク</t>
    </rPh>
    <rPh sb="2" eb="3">
      <t>メイ</t>
    </rPh>
    <rPh sb="8" eb="9">
      <t>メイ</t>
    </rPh>
    <phoneticPr fontId="2"/>
  </si>
  <si>
    <t>18階 ビジネスソリューション社 ソリューション開発統轄部 企業システム開発部 第2開発センター</t>
  </si>
  <si>
    <t>ソリューション開発統轄部 企業システム開発部 部長</t>
  </si>
  <si>
    <t xml:space="preserve">  ≪システム開発部門用≫</t>
    <rPh sb="9" eb="11">
      <t>ブモン</t>
    </rPh>
    <rPh sb="11" eb="12">
      <t>ヨウ</t>
    </rPh>
    <phoneticPr fontId="9"/>
  </si>
  <si>
    <t>409</t>
    <phoneticPr fontId="2"/>
  </si>
  <si>
    <t>401</t>
    <phoneticPr fontId="2"/>
  </si>
  <si>
    <t>株式会社VTIジャパン</t>
    <phoneticPr fontId="2"/>
  </si>
  <si>
    <t>グエン ホン ソン</t>
    <phoneticPr fontId="2"/>
  </si>
  <si>
    <t>A97122</t>
    <phoneticPr fontId="2"/>
  </si>
  <si>
    <t>C141</t>
    <phoneticPr fontId="2"/>
  </si>
  <si>
    <t>株式会社ＶＴＩジャパン</t>
    <phoneticPr fontId="9"/>
  </si>
  <si>
    <t>東京都新宿区片町4-3 曙橋SHKビル5階</t>
    <phoneticPr fontId="9"/>
  </si>
  <si>
    <t>チャン・スアン・コイ</t>
    <phoneticPr fontId="9"/>
  </si>
  <si>
    <t>0387-605022</t>
    <phoneticPr fontId="2"/>
  </si>
  <si>
    <t>株式会社　ケーズホールディングス　　</t>
    <phoneticPr fontId="2"/>
  </si>
  <si>
    <t>タブレットPOS端末アプリ</t>
    <phoneticPr fontId="2"/>
  </si>
  <si>
    <t>（時間外20H～-20Ｈ含む）</t>
    <phoneticPr fontId="2"/>
  </si>
  <si>
    <t>欠勤</t>
  </si>
  <si>
    <t>*</t>
  </si>
  <si>
    <t>タブレットPOS端末アプリ</t>
  </si>
  <si>
    <t>作業環境の準備、設定</t>
  </si>
  <si>
    <t>開発環境の設定、接続確認</t>
  </si>
  <si>
    <t>作業環境の設定、確認</t>
  </si>
  <si>
    <t>デバイス制御資料の確認</t>
  </si>
  <si>
    <t>デバイス制御資料の整理</t>
  </si>
  <si>
    <t>デバイス制御設計書の作成</t>
  </si>
  <si>
    <t>デバイス設定方式の確認</t>
  </si>
  <si>
    <t>デバイス制御の説明資料作成</t>
  </si>
  <si>
    <t>デバイス制御資料のレビュー</t>
  </si>
  <si>
    <t>制御設計書修正（在宅）</t>
  </si>
  <si>
    <t>休日</t>
    <phoneticPr fontId="2"/>
  </si>
  <si>
    <t>月間日数
合計</t>
  </si>
  <si>
    <t>午前欠勤、午後在宅、制御設計書作成</t>
  </si>
  <si>
    <t>陳</t>
    <rPh sb="0" eb="1">
      <t>チン</t>
    </rPh>
    <phoneticPr fontId="2"/>
  </si>
  <si>
    <t>派遣先管理台帳－４（就業管理台帳）（20日締め用）</t>
    <phoneticPr fontId="9"/>
  </si>
  <si>
    <t>株式会社　ケーズホールディングス タブレットPOS端末アプリ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</si>
</sst>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¥&quot;#,##0;[Red]&quot;¥&quot;\-#,##0"/>
    <numFmt numFmtId="8" formatCode="&quot;¥&quot;#,##0.00;[Red]&quot;¥&quot;\-#,##0.00"/>
    <numFmt numFmtId="176" formatCode="0000&quot;-&quot;000000"/>
    <numFmt numFmtId="177" formatCode="m/d"/>
    <numFmt numFmtId="178" formatCode="[h]:mm"/>
    <numFmt numFmtId="179" formatCode="0.00_ "/>
    <numFmt numFmtId="180" formatCode="m/d;@"/>
    <numFmt numFmtId="181" formatCode="0;[Red]0"/>
    <numFmt numFmtId="182" formatCode="#,##0_ "/>
    <numFmt numFmtId="183" formatCode="0.00;[Red]0.00"/>
    <numFmt numFmtId="184" formatCode="0.0"/>
    <numFmt numFmtId="185" formatCode="#,##0&quot;回&quot;"/>
    <numFmt numFmtId="186" formatCode="0.0%"/>
    <numFmt numFmtId="187" formatCode="0&quot;年&quot;00&quot;月&quot;"/>
    <numFmt numFmtId="188" formatCode="[$-411]ggge&quot;年&quot;m&quot;月&quot;"/>
    <numFmt numFmtId="189" formatCode="0&quot;年&quot;"/>
    <numFmt numFmtId="190" formatCode="yy&quot;年&quot;m&quot;月&quot;d&quot;日&quot;"/>
    <numFmt numFmtId="191" formatCode="0.0_ "/>
    <numFmt numFmtId="192" formatCode="#,###"/>
    <numFmt numFmtId="193" formatCode="yyyy&quot;年&quot;mm&quot;月度&quot;"/>
    <numFmt numFmtId="194" formatCode="h:mm;@"/>
    <numFmt numFmtId="195" formatCode="0.0?"/>
    <numFmt numFmtId="196" formatCode="0&quot;Ｈ&quot;"/>
    <numFmt numFmtId="197" formatCode="mm/dd"/>
    <numFmt numFmtId="198" formatCode="&quot;自  &quot;h&quot; 時 &quot;mm&quot; 分&quot;"/>
    <numFmt numFmtId="199" formatCode="&quot;至  &quot;h&quot; 時 &quot;mm&quot; 分&quot;"/>
  </numFmts>
  <fonts count="6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20"/>
      <name val="MS UI Gothic"/>
      <family val="3"/>
      <charset val="128"/>
    </font>
    <font>
      <sz val="9"/>
      <name val="MS UI Gothic"/>
      <family val="3"/>
      <charset val="128"/>
    </font>
    <font>
      <b/>
      <sz val="11"/>
      <name val="MS UI Gothic"/>
      <family val="3"/>
      <charset val="128"/>
    </font>
    <font>
      <sz val="10"/>
      <name val="ＭＳ ゴシック"/>
      <family val="3"/>
      <charset val="128"/>
    </font>
    <font>
      <sz val="7"/>
      <name val="ＭＳ ゴシック"/>
      <family val="3"/>
      <charset val="128"/>
    </font>
    <font>
      <sz val="6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9"/>
      <name val="ＭＳ ゴシック"/>
      <family val="3"/>
      <charset val="128"/>
    </font>
    <font>
      <sz val="16"/>
      <name val="ＭＳ ゴシック"/>
      <family val="3"/>
      <charset val="128"/>
    </font>
    <font>
      <sz val="8"/>
      <name val="ＭＳ ゴシック"/>
      <family val="3"/>
      <charset val="128"/>
    </font>
    <font>
      <sz val="7.5"/>
      <name val="ＭＳ ゴシック"/>
      <family val="3"/>
      <charset val="128"/>
    </font>
    <font>
      <sz val="5"/>
      <name val="ＭＳ ゴシック"/>
      <family val="3"/>
      <charset val="128"/>
    </font>
    <font>
      <sz val="10"/>
      <name val="ＭＳ 明朝"/>
      <family val="1"/>
      <charset val="128"/>
    </font>
    <font>
      <sz val="6.5"/>
      <name val="ＭＳ ゴシック"/>
      <family val="3"/>
      <charset val="128"/>
    </font>
    <font>
      <sz val="6"/>
      <name val="ＨＧ丸ゴシックL"/>
      <family val="3"/>
      <charset val="128"/>
    </font>
    <font>
      <sz val="7.5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sz val="6"/>
      <name val="ＭＳ Ｐ明朝"/>
      <family val="1"/>
      <charset val="128"/>
    </font>
    <font>
      <b/>
      <sz val="14"/>
      <name val="ＭＳ ゴシック"/>
      <family val="3"/>
      <charset val="128"/>
    </font>
    <font>
      <b/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14"/>
      <name val="明朝"/>
      <family val="3"/>
      <charset val="128"/>
    </font>
    <font>
      <sz val="10"/>
      <name val="Arial"/>
      <family val="2"/>
    </font>
    <font>
      <sz val="11"/>
      <name val="明朝"/>
      <family val="1"/>
      <charset val="128"/>
    </font>
    <font>
      <sz val="10"/>
      <name val="MS UI Gothic"/>
      <family val="3"/>
      <charset val="128"/>
    </font>
    <font>
      <sz val="8"/>
      <name val="MS UI Gothic"/>
      <family val="3"/>
      <charset val="128"/>
    </font>
    <font>
      <sz val="11"/>
      <name val="HGP創英ﾌﾟﾚｾﾞﾝｽEB"/>
      <family val="1"/>
      <charset val="128"/>
    </font>
    <font>
      <sz val="11"/>
      <name val="ＭＳ ゴシック"/>
      <family val="3"/>
      <charset val="128"/>
    </font>
    <font>
      <b/>
      <i/>
      <sz val="13"/>
      <name val="ＭＳ Ｐゴシック"/>
      <family val="3"/>
      <charset val="128"/>
    </font>
    <font>
      <b/>
      <sz val="13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5"/>
      <name val="ＭＳ Ｐゴシック"/>
      <family val="3"/>
      <charset val="128"/>
    </font>
    <font>
      <sz val="9"/>
      <name val="メイリオ"/>
      <family val="3"/>
      <charset val="128"/>
    </font>
    <font>
      <sz val="9"/>
      <name val="HG創英角ﾎﾟｯﾌﾟ体"/>
      <family val="3"/>
      <charset val="128"/>
    </font>
    <font>
      <sz val="12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color indexed="8"/>
      <name val="ＭＳ 明朝"/>
      <family val="1"/>
      <charset val="128"/>
    </font>
    <font>
      <sz val="7"/>
      <color indexed="8"/>
      <name val="ＭＳ ゴシック"/>
      <family val="3"/>
      <charset val="128"/>
    </font>
    <font>
      <sz val="8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9"/>
      <color indexed="8"/>
      <name val="ＭＳ ゴシック"/>
      <family val="3"/>
      <charset val="128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9"/>
      <color theme="0"/>
      <name val="メイリオ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  <font>
      <sz val="10"/>
      <color indexed="10"/>
      <name val="ＭＳ ゴシック"/>
      <family val="3"/>
      <charset val="128"/>
    </font>
    <font>
      <b/>
      <u/>
      <sz val="10"/>
      <name val="ＭＳ ゴシック"/>
      <family val="3"/>
      <charset val="128"/>
    </font>
    <font>
      <sz val="10"/>
      <color rgb="FF0000FF"/>
      <name val="メイリオ"/>
      <family val="3"/>
      <charset val="128"/>
    </font>
    <font>
      <sz val="10"/>
      <color theme="0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FF0000"/>
      <name val="ＭＳ ゴシック"/>
      <family val="3"/>
      <charset val="128"/>
    </font>
    <font>
      <sz val="9"/>
      <color rgb="FFFF0000"/>
      <name val="メイリオ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2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 diagonalUp="1">
      <left style="double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6">
    <xf numFmtId="0" fontId="0" fillId="0" borderId="0">
      <alignment vertical="center"/>
    </xf>
    <xf numFmtId="9" fontId="8" fillId="0" borderId="1">
      <alignment horizontal="center"/>
    </xf>
    <xf numFmtId="40" fontId="29" fillId="0" borderId="0" applyFont="0" applyFill="0" applyBorder="0" applyAlignment="0" applyProtection="0"/>
    <xf numFmtId="187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0" fontId="31" fillId="0" borderId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86" fontId="32" fillId="0" borderId="0">
      <protection locked="0"/>
    </xf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/>
    <xf numFmtId="6" fontId="1" fillId="0" borderId="0" applyFont="0" applyFill="0" applyBorder="0" applyAlignment="0" applyProtection="0">
      <alignment vertical="center"/>
    </xf>
  </cellStyleXfs>
  <cellXfs count="822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 applyAlignment="1">
      <alignment horizontal="center" vertical="center" shrinkToFit="1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3" fillId="2" borderId="3" xfId="0" applyFont="1" applyFill="1" applyBorder="1" applyAlignment="1">
      <alignment vertical="center" shrinkToFit="1"/>
    </xf>
    <xf numFmtId="0" fontId="3" fillId="2" borderId="4" xfId="0" applyFont="1" applyFill="1" applyBorder="1">
      <alignment vertical="center"/>
    </xf>
    <xf numFmtId="0" fontId="3" fillId="2" borderId="0" xfId="0" applyFont="1" applyFill="1" applyAlignment="1">
      <alignment vertical="center" shrinkToFi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6" fillId="2" borderId="12" xfId="0" applyFont="1" applyFill="1" applyBorder="1" applyAlignment="1">
      <alignment vertical="center" textRotation="255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7" fillId="0" borderId="0" xfId="13" applyAlignment="1">
      <alignment vertical="center"/>
    </xf>
    <xf numFmtId="176" fontId="8" fillId="0" borderId="0" xfId="13" applyNumberFormat="1" applyFont="1" applyAlignment="1">
      <alignment vertical="center" textRotation="255"/>
    </xf>
    <xf numFmtId="0" fontId="7" fillId="0" borderId="0" xfId="13" applyAlignment="1">
      <alignment horizontal="right"/>
    </xf>
    <xf numFmtId="31" fontId="7" fillId="0" borderId="0" xfId="13" applyNumberFormat="1"/>
    <xf numFmtId="31" fontId="7" fillId="0" borderId="0" xfId="13" applyNumberFormat="1" applyAlignment="1">
      <alignment horizontal="distributed"/>
    </xf>
    <xf numFmtId="38" fontId="7" fillId="0" borderId="0" xfId="9" applyFont="1" applyAlignment="1">
      <alignment vertical="center"/>
    </xf>
    <xf numFmtId="0" fontId="7" fillId="0" borderId="15" xfId="13" applyBorder="1" applyAlignment="1">
      <alignment horizontal="centerContinuous" vertical="center"/>
    </xf>
    <xf numFmtId="0" fontId="7" fillId="0" borderId="16" xfId="13" applyBorder="1" applyAlignment="1">
      <alignment horizontal="centerContinuous" vertical="center"/>
    </xf>
    <xf numFmtId="0" fontId="7" fillId="0" borderId="17" xfId="13" applyBorder="1" applyAlignment="1">
      <alignment horizontal="centerContinuous" vertical="center"/>
    </xf>
    <xf numFmtId="0" fontId="7" fillId="0" borderId="18" xfId="13" applyBorder="1" applyAlignment="1">
      <alignment horizontal="centerContinuous" vertical="center"/>
    </xf>
    <xf numFmtId="0" fontId="7" fillId="0" borderId="10" xfId="13" applyBorder="1" applyAlignment="1">
      <alignment horizontal="centerContinuous" vertical="center"/>
    </xf>
    <xf numFmtId="0" fontId="7" fillId="0" borderId="11" xfId="13" applyBorder="1" applyAlignment="1">
      <alignment horizontal="centerContinuous" vertical="center"/>
    </xf>
    <xf numFmtId="0" fontId="7" fillId="0" borderId="0" xfId="13" applyAlignment="1">
      <alignment vertical="center" shrinkToFit="1"/>
    </xf>
    <xf numFmtId="0" fontId="13" fillId="0" borderId="0" xfId="13" applyFont="1" applyAlignment="1">
      <alignment vertical="center"/>
    </xf>
    <xf numFmtId="38" fontId="7" fillId="0" borderId="24" xfId="9" applyFont="1" applyBorder="1" applyAlignment="1">
      <alignment horizontal="center" vertical="center" wrapText="1"/>
    </xf>
    <xf numFmtId="20" fontId="7" fillId="0" borderId="24" xfId="9" applyNumberFormat="1" applyFont="1" applyBorder="1" applyAlignment="1">
      <alignment horizontal="center" vertical="center" wrapText="1"/>
    </xf>
    <xf numFmtId="0" fontId="9" fillId="0" borderId="12" xfId="13" applyFont="1" applyBorder="1" applyAlignment="1">
      <alignment horizontal="center" vertical="center" wrapText="1"/>
    </xf>
    <xf numFmtId="0" fontId="7" fillId="0" borderId="25" xfId="13" applyBorder="1" applyAlignment="1">
      <alignment horizontal="center" vertical="center"/>
    </xf>
    <xf numFmtId="0" fontId="7" fillId="0" borderId="12" xfId="13" applyBorder="1" applyAlignment="1">
      <alignment horizontal="center" vertical="center" wrapText="1"/>
    </xf>
    <xf numFmtId="0" fontId="14" fillId="0" borderId="26" xfId="13" applyFont="1" applyBorder="1" applyAlignment="1">
      <alignment horizontal="center" vertical="center"/>
    </xf>
    <xf numFmtId="0" fontId="14" fillId="0" borderId="27" xfId="13" applyFont="1" applyBorder="1" applyAlignment="1">
      <alignment horizontal="center" vertical="center"/>
    </xf>
    <xf numFmtId="0" fontId="7" fillId="0" borderId="0" xfId="13" applyAlignment="1">
      <alignment horizontal="center" vertical="center" wrapText="1"/>
    </xf>
    <xf numFmtId="0" fontId="14" fillId="0" borderId="28" xfId="13" applyFont="1" applyBorder="1" applyAlignment="1">
      <alignment horizontal="center" vertical="center" wrapText="1"/>
    </xf>
    <xf numFmtId="0" fontId="7" fillId="0" borderId="0" xfId="13" applyAlignment="1">
      <alignment horizontal="center" vertical="center"/>
    </xf>
    <xf numFmtId="0" fontId="12" fillId="0" borderId="2" xfId="13" applyFont="1" applyBorder="1" applyAlignment="1">
      <alignment horizontal="center" vertical="center" wrapText="1"/>
    </xf>
    <xf numFmtId="176" fontId="12" fillId="0" borderId="5" xfId="13" applyNumberFormat="1" applyFont="1" applyBorder="1" applyAlignment="1">
      <alignment horizontal="center" vertical="center" wrapText="1"/>
    </xf>
    <xf numFmtId="0" fontId="12" fillId="0" borderId="29" xfId="13" applyFont="1" applyBorder="1" applyAlignment="1">
      <alignment horizontal="center" vertical="center" wrapText="1"/>
    </xf>
    <xf numFmtId="0" fontId="12" fillId="0" borderId="6" xfId="13" applyFont="1" applyBorder="1" applyAlignment="1">
      <alignment horizontal="center" vertical="center" wrapText="1"/>
    </xf>
    <xf numFmtId="177" fontId="14" fillId="0" borderId="30" xfId="13" applyNumberFormat="1" applyFont="1" applyBorder="1" applyAlignment="1">
      <alignment vertical="center"/>
    </xf>
    <xf numFmtId="0" fontId="14" fillId="0" borderId="31" xfId="13" applyFont="1" applyBorder="1" applyAlignment="1">
      <alignment horizontal="center" vertical="center"/>
    </xf>
    <xf numFmtId="0" fontId="12" fillId="0" borderId="16" xfId="13" applyFont="1" applyBorder="1" applyAlignment="1">
      <alignment vertical="center"/>
    </xf>
    <xf numFmtId="177" fontId="14" fillId="0" borderId="32" xfId="13" applyNumberFormat="1" applyFont="1" applyBorder="1" applyAlignment="1">
      <alignment vertical="center"/>
    </xf>
    <xf numFmtId="0" fontId="14" fillId="0" borderId="33" xfId="13" applyFont="1" applyBorder="1" applyAlignment="1">
      <alignment horizontal="center" vertical="center"/>
    </xf>
    <xf numFmtId="0" fontId="12" fillId="0" borderId="34" xfId="13" applyFont="1" applyBorder="1" applyAlignment="1">
      <alignment vertical="center"/>
    </xf>
    <xf numFmtId="0" fontId="7" fillId="0" borderId="35" xfId="13" applyBorder="1" applyAlignment="1">
      <alignment horizontal="center" vertical="center"/>
    </xf>
    <xf numFmtId="178" fontId="7" fillId="4" borderId="36" xfId="13" applyNumberFormat="1" applyFill="1" applyBorder="1" applyAlignment="1">
      <alignment horizontal="center" vertical="center"/>
    </xf>
    <xf numFmtId="0" fontId="7" fillId="0" borderId="37" xfId="13" applyBorder="1" applyAlignment="1">
      <alignment horizontal="center" vertical="center"/>
    </xf>
    <xf numFmtId="177" fontId="7" fillId="0" borderId="0" xfId="13" applyNumberFormat="1" applyAlignment="1">
      <alignment vertical="center"/>
    </xf>
    <xf numFmtId="180" fontId="7" fillId="0" borderId="38" xfId="13" applyNumberFormat="1" applyBorder="1" applyAlignment="1">
      <alignment vertical="center"/>
    </xf>
    <xf numFmtId="0" fontId="14" fillId="0" borderId="39" xfId="13" applyFont="1" applyBorder="1" applyAlignment="1">
      <alignment horizontal="center" vertical="center"/>
    </xf>
    <xf numFmtId="0" fontId="7" fillId="0" borderId="5" xfId="13" applyBorder="1" applyAlignment="1">
      <alignment vertical="center"/>
    </xf>
    <xf numFmtId="0" fontId="7" fillId="0" borderId="2" xfId="13" applyBorder="1" applyAlignment="1">
      <alignment vertical="center"/>
    </xf>
    <xf numFmtId="0" fontId="7" fillId="0" borderId="6" xfId="13" applyBorder="1" applyAlignment="1">
      <alignment vertical="center"/>
    </xf>
    <xf numFmtId="38" fontId="7" fillId="0" borderId="2" xfId="9" applyFont="1" applyBorder="1" applyAlignment="1">
      <alignment vertical="center"/>
    </xf>
    <xf numFmtId="38" fontId="14" fillId="0" borderId="11" xfId="9" applyFont="1" applyBorder="1" applyAlignment="1">
      <alignment horizontal="center" vertical="center" wrapText="1"/>
    </xf>
    <xf numFmtId="0" fontId="12" fillId="0" borderId="5" xfId="13" applyFont="1" applyBorder="1" applyAlignment="1">
      <alignment horizontal="centerContinuous" vertical="center"/>
    </xf>
    <xf numFmtId="0" fontId="12" fillId="0" borderId="6" xfId="13" applyFont="1" applyBorder="1" applyAlignment="1">
      <alignment horizontal="centerContinuous" vertical="center"/>
    </xf>
    <xf numFmtId="0" fontId="14" fillId="0" borderId="0" xfId="13" applyFont="1" applyAlignment="1">
      <alignment horizontal="center" vertical="center" wrapText="1"/>
    </xf>
    <xf numFmtId="38" fontId="7" fillId="0" borderId="40" xfId="9" applyFont="1" applyBorder="1" applyAlignment="1">
      <alignment horizontal="center" vertical="center"/>
    </xf>
    <xf numFmtId="0" fontId="12" fillId="0" borderId="3" xfId="13" applyFont="1" applyBorder="1" applyAlignment="1">
      <alignment horizontal="center" vertical="center" shrinkToFit="1"/>
    </xf>
    <xf numFmtId="0" fontId="14" fillId="0" borderId="0" xfId="13" applyFont="1" applyAlignment="1">
      <alignment horizontal="center" vertical="center"/>
    </xf>
    <xf numFmtId="2" fontId="7" fillId="0" borderId="0" xfId="13" applyNumberFormat="1" applyAlignment="1">
      <alignment horizontal="center"/>
    </xf>
    <xf numFmtId="0" fontId="7" fillId="0" borderId="5" xfId="13" applyBorder="1" applyAlignment="1">
      <alignment horizontal="center" vertical="center" textRotation="255" shrinkToFit="1"/>
    </xf>
    <xf numFmtId="0" fontId="7" fillId="0" borderId="41" xfId="13" applyBorder="1" applyAlignment="1">
      <alignment horizontal="centerContinuous" vertical="center"/>
    </xf>
    <xf numFmtId="0" fontId="7" fillId="0" borderId="40" xfId="13" applyBorder="1" applyAlignment="1">
      <alignment horizontal="centerContinuous" vertical="center"/>
    </xf>
    <xf numFmtId="0" fontId="7" fillId="0" borderId="34" xfId="13" applyBorder="1" applyAlignment="1">
      <alignment horizontal="centerContinuous" vertical="center"/>
    </xf>
    <xf numFmtId="38" fontId="7" fillId="0" borderId="34" xfId="9" applyFont="1" applyBorder="1" applyAlignment="1">
      <alignment horizontal="centerContinuous" vertical="center"/>
    </xf>
    <xf numFmtId="0" fontId="7" fillId="0" borderId="7" xfId="13" applyBorder="1" applyAlignment="1">
      <alignment horizontal="center" vertical="center" textRotation="255" shrinkToFit="1"/>
    </xf>
    <xf numFmtId="0" fontId="7" fillId="0" borderId="42" xfId="13" applyBorder="1" applyAlignment="1">
      <alignment horizontal="centerContinuous" vertical="center"/>
    </xf>
    <xf numFmtId="0" fontId="7" fillId="0" borderId="43" xfId="13" applyBorder="1" applyAlignment="1">
      <alignment horizontal="centerContinuous" vertical="center"/>
    </xf>
    <xf numFmtId="38" fontId="7" fillId="0" borderId="44" xfId="9" applyFont="1" applyBorder="1" applyAlignment="1">
      <alignment vertical="center"/>
    </xf>
    <xf numFmtId="0" fontId="7" fillId="0" borderId="44" xfId="13" applyBorder="1" applyAlignment="1">
      <alignment vertical="center"/>
    </xf>
    <xf numFmtId="0" fontId="7" fillId="0" borderId="7" xfId="13" applyBorder="1" applyAlignment="1">
      <alignment horizontal="centerContinuous" vertical="center"/>
    </xf>
    <xf numFmtId="0" fontId="7" fillId="0" borderId="8" xfId="13" applyBorder="1" applyAlignment="1">
      <alignment horizontal="centerContinuous" vertical="center"/>
    </xf>
    <xf numFmtId="38" fontId="7" fillId="0" borderId="0" xfId="9" applyFont="1" applyBorder="1" applyAlignment="1">
      <alignment horizontal="right" vertical="center"/>
    </xf>
    <xf numFmtId="0" fontId="7" fillId="0" borderId="0" xfId="13" applyAlignment="1">
      <alignment horizontal="distributed" vertical="center"/>
    </xf>
    <xf numFmtId="0" fontId="14" fillId="0" borderId="0" xfId="13" applyFont="1" applyAlignment="1">
      <alignment vertical="center"/>
    </xf>
    <xf numFmtId="38" fontId="7" fillId="0" borderId="0" xfId="9" applyFont="1" applyBorder="1" applyAlignment="1">
      <alignment vertical="center"/>
    </xf>
    <xf numFmtId="0" fontId="7" fillId="0" borderId="45" xfId="13" applyBorder="1" applyAlignment="1">
      <alignment horizontal="centerContinuous" vertical="center"/>
    </xf>
    <xf numFmtId="0" fontId="7" fillId="0" borderId="46" xfId="13" applyBorder="1" applyAlignment="1">
      <alignment horizontal="centerContinuous" vertical="center"/>
    </xf>
    <xf numFmtId="0" fontId="7" fillId="0" borderId="47" xfId="13" applyBorder="1" applyAlignment="1">
      <alignment vertical="center"/>
    </xf>
    <xf numFmtId="38" fontId="7" fillId="0" borderId="47" xfId="9" applyFont="1" applyBorder="1" applyAlignment="1">
      <alignment vertical="center"/>
    </xf>
    <xf numFmtId="0" fontId="7" fillId="0" borderId="47" xfId="13" applyBorder="1" applyAlignment="1">
      <alignment horizontal="distributed" vertical="center"/>
    </xf>
    <xf numFmtId="0" fontId="14" fillId="0" borderId="47" xfId="13" applyFont="1" applyBorder="1" applyAlignment="1">
      <alignment vertical="center"/>
    </xf>
    <xf numFmtId="0" fontId="7" fillId="0" borderId="9" xfId="13" applyBorder="1" applyAlignment="1">
      <alignment horizontal="center" vertical="center" textRotation="255" shrinkToFit="1"/>
    </xf>
    <xf numFmtId="0" fontId="7" fillId="0" borderId="9" xfId="13" applyBorder="1" applyAlignment="1">
      <alignment horizontal="centerContinuous" vertical="center"/>
    </xf>
    <xf numFmtId="0" fontId="7" fillId="0" borderId="10" xfId="13" applyBorder="1" applyAlignment="1">
      <alignment vertical="center"/>
    </xf>
    <xf numFmtId="38" fontId="7" fillId="0" borderId="10" xfId="9" applyFont="1" applyBorder="1" applyAlignment="1">
      <alignment horizontal="right" vertical="center"/>
    </xf>
    <xf numFmtId="0" fontId="7" fillId="0" borderId="10" xfId="13" applyBorder="1" applyAlignment="1">
      <alignment horizontal="distributed" vertical="center"/>
    </xf>
    <xf numFmtId="0" fontId="14" fillId="0" borderId="10" xfId="13" applyFont="1" applyBorder="1" applyAlignment="1">
      <alignment vertical="center"/>
    </xf>
    <xf numFmtId="0" fontId="11" fillId="5" borderId="41" xfId="13" applyFont="1" applyFill="1" applyBorder="1" applyAlignment="1">
      <alignment horizontal="centerContinuous" vertical="center"/>
    </xf>
    <xf numFmtId="0" fontId="11" fillId="5" borderId="34" xfId="13" applyFont="1" applyFill="1" applyBorder="1" applyAlignment="1">
      <alignment horizontal="centerContinuous" vertical="center"/>
    </xf>
    <xf numFmtId="0" fontId="11" fillId="5" borderId="40" xfId="13" applyFont="1" applyFill="1" applyBorder="1" applyAlignment="1">
      <alignment horizontal="centerContinuous" vertical="center"/>
    </xf>
    <xf numFmtId="0" fontId="14" fillId="0" borderId="5" xfId="13" applyFont="1" applyBorder="1" applyAlignment="1">
      <alignment horizontal="center" vertical="center" wrapText="1"/>
    </xf>
    <xf numFmtId="0" fontId="8" fillId="0" borderId="48" xfId="13" applyFont="1" applyBorder="1" applyAlignment="1">
      <alignment horizontal="center" vertical="center" wrapText="1"/>
    </xf>
    <xf numFmtId="0" fontId="12" fillId="0" borderId="0" xfId="13" applyFont="1" applyAlignment="1">
      <alignment horizontal="left" vertical="center" wrapText="1"/>
    </xf>
    <xf numFmtId="0" fontId="14" fillId="0" borderId="48" xfId="13" applyFont="1" applyBorder="1" applyAlignment="1">
      <alignment horizontal="center" vertical="center" wrapText="1"/>
    </xf>
    <xf numFmtId="0" fontId="15" fillId="0" borderId="48" xfId="13" applyFont="1" applyBorder="1" applyAlignment="1">
      <alignment horizontal="center" vertical="center" wrapText="1"/>
    </xf>
    <xf numFmtId="0" fontId="14" fillId="0" borderId="7" xfId="13" applyFont="1" applyBorder="1" applyAlignment="1">
      <alignment horizontal="left" vertical="center" wrapText="1"/>
    </xf>
    <xf numFmtId="0" fontId="14" fillId="0" borderId="50" xfId="13" applyFont="1" applyBorder="1" applyAlignment="1">
      <alignment horizontal="center" vertical="center"/>
    </xf>
    <xf numFmtId="0" fontId="12" fillId="0" borderId="51" xfId="13" applyFont="1" applyBorder="1" applyAlignment="1">
      <alignment horizontal="center" vertical="center"/>
    </xf>
    <xf numFmtId="185" fontId="21" fillId="0" borderId="52" xfId="13" applyNumberFormat="1" applyFont="1" applyBorder="1" applyAlignment="1">
      <alignment horizontal="center" vertical="center"/>
    </xf>
    <xf numFmtId="0" fontId="25" fillId="0" borderId="0" xfId="13" applyFont="1" applyAlignment="1">
      <alignment vertical="center"/>
    </xf>
    <xf numFmtId="0" fontId="27" fillId="0" borderId="0" xfId="13" applyFont="1" applyAlignment="1">
      <alignment horizontal="center" vertical="center"/>
    </xf>
    <xf numFmtId="176" fontId="12" fillId="0" borderId="56" xfId="13" applyNumberFormat="1" applyFont="1" applyBorder="1" applyAlignment="1">
      <alignment vertical="center"/>
    </xf>
    <xf numFmtId="176" fontId="12" fillId="0" borderId="57" xfId="13" applyNumberFormat="1" applyFont="1" applyBorder="1" applyAlignment="1">
      <alignment vertical="center"/>
    </xf>
    <xf numFmtId="176" fontId="12" fillId="0" borderId="59" xfId="13" applyNumberFormat="1" applyFont="1" applyBorder="1" applyAlignment="1">
      <alignment vertical="center"/>
    </xf>
    <xf numFmtId="0" fontId="12" fillId="0" borderId="60" xfId="13" applyFont="1" applyBorder="1" applyAlignment="1">
      <alignment vertical="center"/>
    </xf>
    <xf numFmtId="176" fontId="12" fillId="0" borderId="60" xfId="13" applyNumberFormat="1" applyFont="1" applyBorder="1" applyAlignment="1">
      <alignment vertical="center"/>
    </xf>
    <xf numFmtId="176" fontId="12" fillId="0" borderId="61" xfId="13" applyNumberFormat="1" applyFont="1" applyBorder="1" applyAlignment="1">
      <alignment vertical="center"/>
    </xf>
    <xf numFmtId="0" fontId="12" fillId="0" borderId="12" xfId="13" applyFont="1" applyBorder="1" applyAlignment="1">
      <alignment vertical="center"/>
    </xf>
    <xf numFmtId="184" fontId="12" fillId="0" borderId="12" xfId="13" applyNumberFormat="1" applyFont="1" applyBorder="1" applyAlignment="1">
      <alignment vertical="center"/>
    </xf>
    <xf numFmtId="176" fontId="12" fillId="0" borderId="12" xfId="13" applyNumberFormat="1" applyFont="1" applyBorder="1" applyAlignment="1">
      <alignment vertical="center"/>
    </xf>
    <xf numFmtId="176" fontId="12" fillId="0" borderId="62" xfId="13" applyNumberFormat="1" applyFont="1" applyBorder="1" applyAlignment="1">
      <alignment horizontal="center" vertical="center"/>
    </xf>
    <xf numFmtId="0" fontId="12" fillId="0" borderId="0" xfId="13" applyFont="1" applyAlignment="1">
      <alignment horizontal="center" vertical="center" shrinkToFit="1"/>
    </xf>
    <xf numFmtId="176" fontId="7" fillId="0" borderId="0" xfId="13" applyNumberFormat="1" applyAlignment="1">
      <alignment vertical="center"/>
    </xf>
    <xf numFmtId="0" fontId="0" fillId="2" borderId="0" xfId="0" applyFill="1">
      <alignment vertical="center"/>
    </xf>
    <xf numFmtId="0" fontId="35" fillId="2" borderId="2" xfId="0" applyFont="1" applyFill="1" applyBorder="1" applyAlignment="1">
      <alignment horizontal="center" vertical="center" shrinkToFit="1"/>
    </xf>
    <xf numFmtId="0" fontId="35" fillId="2" borderId="0" xfId="0" applyFont="1" applyFill="1" applyAlignment="1">
      <alignment horizontal="center" vertical="center" shrinkToFit="1"/>
    </xf>
    <xf numFmtId="0" fontId="12" fillId="0" borderId="63" xfId="13" applyFont="1" applyBorder="1" applyAlignment="1">
      <alignment vertical="center"/>
    </xf>
    <xf numFmtId="0" fontId="38" fillId="2" borderId="65" xfId="0" applyFont="1" applyFill="1" applyBorder="1" applyAlignment="1">
      <alignment horizontal="center" vertical="center" shrinkToFit="1"/>
    </xf>
    <xf numFmtId="0" fontId="38" fillId="2" borderId="66" xfId="0" applyFont="1" applyFill="1" applyBorder="1" applyAlignment="1">
      <alignment horizontal="center" vertical="center" shrinkToFit="1"/>
    </xf>
    <xf numFmtId="0" fontId="38" fillId="2" borderId="67" xfId="0" applyFont="1" applyFill="1" applyBorder="1" applyAlignment="1">
      <alignment horizontal="center" vertical="center" shrinkToFit="1"/>
    </xf>
    <xf numFmtId="0" fontId="38" fillId="6" borderId="68" xfId="0" applyFont="1" applyFill="1" applyBorder="1" applyAlignment="1">
      <alignment horizontal="center" vertical="center" shrinkToFit="1"/>
    </xf>
    <xf numFmtId="0" fontId="38" fillId="6" borderId="69" xfId="0" applyFont="1" applyFill="1" applyBorder="1" applyAlignment="1">
      <alignment horizontal="center" vertical="center" shrinkToFit="1"/>
    </xf>
    <xf numFmtId="0" fontId="38" fillId="6" borderId="70" xfId="0" applyFont="1" applyFill="1" applyBorder="1" applyAlignment="1">
      <alignment horizontal="center" vertical="center" shrinkToFit="1"/>
    </xf>
    <xf numFmtId="0" fontId="38" fillId="6" borderId="71" xfId="0" applyFont="1" applyFill="1" applyBorder="1" applyAlignment="1">
      <alignment horizontal="center" vertical="center" shrinkToFit="1"/>
    </xf>
    <xf numFmtId="0" fontId="38" fillId="6" borderId="29" xfId="0" applyFont="1" applyFill="1" applyBorder="1" applyAlignment="1">
      <alignment horizontal="center" vertical="center" shrinkToFit="1"/>
    </xf>
    <xf numFmtId="0" fontId="38" fillId="6" borderId="72" xfId="0" applyFont="1" applyFill="1" applyBorder="1" applyAlignment="1">
      <alignment horizontal="center" vertical="center" shrinkToFit="1"/>
    </xf>
    <xf numFmtId="0" fontId="37" fillId="2" borderId="73" xfId="0" applyFont="1" applyFill="1" applyBorder="1" applyAlignment="1">
      <alignment horizontal="center" vertical="center"/>
    </xf>
    <xf numFmtId="0" fontId="37" fillId="2" borderId="70" xfId="0" applyFont="1" applyFill="1" applyBorder="1" applyAlignment="1">
      <alignment horizontal="center" vertical="center"/>
    </xf>
    <xf numFmtId="0" fontId="37" fillId="2" borderId="68" xfId="0" applyFont="1" applyFill="1" applyBorder="1" applyAlignment="1">
      <alignment horizontal="center" vertical="center"/>
    </xf>
    <xf numFmtId="0" fontId="37" fillId="2" borderId="69" xfId="0" applyFont="1" applyFill="1" applyBorder="1" applyAlignment="1">
      <alignment horizontal="center" vertical="center"/>
    </xf>
    <xf numFmtId="0" fontId="37" fillId="2" borderId="74" xfId="0" applyFont="1" applyFill="1" applyBorder="1" applyAlignment="1">
      <alignment horizontal="center" vertical="center"/>
    </xf>
    <xf numFmtId="0" fontId="37" fillId="2" borderId="75" xfId="0" applyFont="1" applyFill="1" applyBorder="1" applyAlignment="1">
      <alignment horizontal="center" vertical="center"/>
    </xf>
    <xf numFmtId="0" fontId="37" fillId="2" borderId="76" xfId="0" applyFont="1" applyFill="1" applyBorder="1" applyAlignment="1">
      <alignment horizontal="center" vertical="center"/>
    </xf>
    <xf numFmtId="0" fontId="37" fillId="2" borderId="77" xfId="0" applyFont="1" applyFill="1" applyBorder="1" applyAlignment="1">
      <alignment horizontal="center" vertical="center"/>
    </xf>
    <xf numFmtId="0" fontId="37" fillId="2" borderId="78" xfId="0" applyFont="1" applyFill="1" applyBorder="1" applyAlignment="1">
      <alignment horizontal="center" vertical="center"/>
    </xf>
    <xf numFmtId="0" fontId="37" fillId="2" borderId="79" xfId="0" applyFont="1" applyFill="1" applyBorder="1" applyAlignment="1">
      <alignment horizontal="center" vertical="center"/>
    </xf>
    <xf numFmtId="0" fontId="37" fillId="2" borderId="80" xfId="0" applyFont="1" applyFill="1" applyBorder="1" applyAlignment="1">
      <alignment horizontal="center" vertical="center"/>
    </xf>
    <xf numFmtId="0" fontId="37" fillId="2" borderId="72" xfId="0" applyFont="1" applyFill="1" applyBorder="1" applyAlignment="1">
      <alignment horizontal="center" vertical="center"/>
    </xf>
    <xf numFmtId="0" fontId="37" fillId="2" borderId="71" xfId="0" applyFont="1" applyFill="1" applyBorder="1" applyAlignment="1">
      <alignment horizontal="center" vertical="center"/>
    </xf>
    <xf numFmtId="0" fontId="37" fillId="2" borderId="29" xfId="0" applyFont="1" applyFill="1" applyBorder="1" applyAlignment="1">
      <alignment horizontal="center" vertical="center"/>
    </xf>
    <xf numFmtId="0" fontId="37" fillId="2" borderId="81" xfId="0" applyFont="1" applyFill="1" applyBorder="1" applyAlignment="1">
      <alignment horizontal="center" vertical="center"/>
    </xf>
    <xf numFmtId="0" fontId="37" fillId="2" borderId="82" xfId="0" applyFont="1" applyFill="1" applyBorder="1" applyAlignment="1">
      <alignment horizontal="center" vertical="center"/>
    </xf>
    <xf numFmtId="0" fontId="37" fillId="2" borderId="83" xfId="0" applyFont="1" applyFill="1" applyBorder="1" applyAlignment="1">
      <alignment horizontal="center" vertical="center"/>
    </xf>
    <xf numFmtId="0" fontId="37" fillId="2" borderId="84" xfId="0" applyFont="1" applyFill="1" applyBorder="1" applyAlignment="1">
      <alignment horizontal="center" vertical="center"/>
    </xf>
    <xf numFmtId="0" fontId="37" fillId="2" borderId="85" xfId="0" applyFont="1" applyFill="1" applyBorder="1" applyAlignment="1">
      <alignment horizontal="center" vertical="center"/>
    </xf>
    <xf numFmtId="0" fontId="37" fillId="2" borderId="86" xfId="0" applyFont="1" applyFill="1" applyBorder="1" applyAlignment="1">
      <alignment horizontal="center" vertical="center"/>
    </xf>
    <xf numFmtId="0" fontId="37" fillId="2" borderId="87" xfId="0" applyFont="1" applyFill="1" applyBorder="1" applyAlignment="1">
      <alignment horizontal="center" vertical="center"/>
    </xf>
    <xf numFmtId="0" fontId="37" fillId="2" borderId="88" xfId="0" applyFont="1" applyFill="1" applyBorder="1" applyAlignment="1">
      <alignment horizontal="center" vertical="center"/>
    </xf>
    <xf numFmtId="0" fontId="37" fillId="2" borderId="89" xfId="0" applyFont="1" applyFill="1" applyBorder="1" applyAlignment="1">
      <alignment horizontal="center" vertical="center"/>
    </xf>
    <xf numFmtId="0" fontId="37" fillId="2" borderId="90" xfId="0" applyFont="1" applyFill="1" applyBorder="1" applyAlignment="1">
      <alignment horizontal="center" vertical="center"/>
    </xf>
    <xf numFmtId="0" fontId="37" fillId="2" borderId="91" xfId="0" applyFont="1" applyFill="1" applyBorder="1" applyAlignment="1">
      <alignment horizontal="center" vertical="center"/>
    </xf>
    <xf numFmtId="0" fontId="37" fillId="2" borderId="92" xfId="0" applyFont="1" applyFill="1" applyBorder="1" applyAlignment="1">
      <alignment horizontal="center" vertical="center"/>
    </xf>
    <xf numFmtId="0" fontId="37" fillId="2" borderId="93" xfId="0" applyFont="1" applyFill="1" applyBorder="1" applyAlignment="1">
      <alignment horizontal="center" vertical="center"/>
    </xf>
    <xf numFmtId="0" fontId="37" fillId="2" borderId="94" xfId="0" applyFont="1" applyFill="1" applyBorder="1" applyAlignment="1">
      <alignment horizontal="center" vertical="center"/>
    </xf>
    <xf numFmtId="0" fontId="37" fillId="2" borderId="95" xfId="0" applyFont="1" applyFill="1" applyBorder="1" applyAlignment="1">
      <alignment horizontal="center" vertical="center"/>
    </xf>
    <xf numFmtId="0" fontId="37" fillId="2" borderId="96" xfId="0" applyFont="1" applyFill="1" applyBorder="1" applyAlignment="1">
      <alignment horizontal="center" vertical="center"/>
    </xf>
    <xf numFmtId="0" fontId="38" fillId="6" borderId="97" xfId="0" applyFont="1" applyFill="1" applyBorder="1" applyAlignment="1">
      <alignment horizontal="center" vertical="center" shrinkToFit="1"/>
    </xf>
    <xf numFmtId="0" fontId="37" fillId="2" borderId="71" xfId="0" applyFont="1" applyFill="1" applyBorder="1">
      <alignment vertical="center"/>
    </xf>
    <xf numFmtId="0" fontId="37" fillId="2" borderId="72" xfId="0" applyFont="1" applyFill="1" applyBorder="1">
      <alignment vertical="center"/>
    </xf>
    <xf numFmtId="0" fontId="37" fillId="2" borderId="29" xfId="0" applyFont="1" applyFill="1" applyBorder="1">
      <alignment vertical="center"/>
    </xf>
    <xf numFmtId="0" fontId="37" fillId="2" borderId="77" xfId="0" applyFont="1" applyFill="1" applyBorder="1">
      <alignment vertical="center"/>
    </xf>
    <xf numFmtId="0" fontId="37" fillId="2" borderId="76" xfId="0" applyFont="1" applyFill="1" applyBorder="1">
      <alignment vertical="center"/>
    </xf>
    <xf numFmtId="0" fontId="37" fillId="2" borderId="78" xfId="0" applyFont="1" applyFill="1" applyBorder="1">
      <alignment vertical="center"/>
    </xf>
    <xf numFmtId="0" fontId="37" fillId="2" borderId="98" xfId="0" applyFont="1" applyFill="1" applyBorder="1">
      <alignment vertical="center"/>
    </xf>
    <xf numFmtId="0" fontId="37" fillId="2" borderId="99" xfId="0" applyFont="1" applyFill="1" applyBorder="1">
      <alignment vertical="center"/>
    </xf>
    <xf numFmtId="0" fontId="37" fillId="2" borderId="100" xfId="0" applyFont="1" applyFill="1" applyBorder="1">
      <alignment vertical="center"/>
    </xf>
    <xf numFmtId="0" fontId="37" fillId="2" borderId="101" xfId="0" applyFont="1" applyFill="1" applyBorder="1">
      <alignment vertical="center"/>
    </xf>
    <xf numFmtId="0" fontId="39" fillId="2" borderId="41" xfId="0" applyFont="1" applyFill="1" applyBorder="1" applyAlignment="1">
      <alignment vertical="center" shrinkToFit="1"/>
    </xf>
    <xf numFmtId="0" fontId="39" fillId="2" borderId="34" xfId="0" applyFont="1" applyFill="1" applyBorder="1" applyAlignment="1">
      <alignment vertical="center" shrinkToFit="1"/>
    </xf>
    <xf numFmtId="0" fontId="39" fillId="2" borderId="36" xfId="0" applyFont="1" applyFill="1" applyBorder="1" applyAlignment="1">
      <alignment vertical="center" shrinkToFit="1"/>
    </xf>
    <xf numFmtId="0" fontId="39" fillId="2" borderId="39" xfId="0" applyFont="1" applyFill="1" applyBorder="1" applyAlignment="1">
      <alignment vertical="center" shrinkToFit="1"/>
    </xf>
    <xf numFmtId="31" fontId="7" fillId="3" borderId="0" xfId="13" applyNumberFormat="1" applyFill="1" applyAlignment="1">
      <alignment shrinkToFit="1"/>
    </xf>
    <xf numFmtId="0" fontId="7" fillId="0" borderId="102" xfId="13" applyBorder="1" applyAlignment="1">
      <alignment horizontal="center"/>
    </xf>
    <xf numFmtId="0" fontId="14" fillId="0" borderId="103" xfId="13" applyFont="1" applyBorder="1" applyAlignment="1">
      <alignment horizontal="center" vertical="center"/>
    </xf>
    <xf numFmtId="0" fontId="14" fillId="0" borderId="104" xfId="13" applyFont="1" applyBorder="1" applyAlignment="1">
      <alignment horizontal="center" vertical="center"/>
    </xf>
    <xf numFmtId="0" fontId="15" fillId="0" borderId="105" xfId="13" applyFont="1" applyBorder="1" applyAlignment="1">
      <alignment horizontal="center" vertical="center" wrapText="1"/>
    </xf>
    <xf numFmtId="0" fontId="14" fillId="0" borderId="103" xfId="13" applyFont="1" applyBorder="1" applyAlignment="1">
      <alignment horizontal="center" vertical="center" wrapText="1"/>
    </xf>
    <xf numFmtId="0" fontId="14" fillId="0" borderId="105" xfId="13" applyFont="1" applyBorder="1" applyAlignment="1">
      <alignment horizontal="center" vertical="center" wrapText="1"/>
    </xf>
    <xf numFmtId="176" fontId="12" fillId="0" borderId="106" xfId="13" applyNumberFormat="1" applyFont="1" applyBorder="1" applyAlignment="1">
      <alignment horizontal="center" vertical="center" wrapText="1"/>
    </xf>
    <xf numFmtId="0" fontId="12" fillId="0" borderId="107" xfId="13" applyFont="1" applyBorder="1" applyAlignment="1">
      <alignment horizontal="center" vertical="center" wrapText="1"/>
    </xf>
    <xf numFmtId="0" fontId="14" fillId="3" borderId="64" xfId="13" applyFont="1" applyFill="1" applyBorder="1" applyAlignment="1">
      <alignment horizontal="center" vertical="center"/>
    </xf>
    <xf numFmtId="178" fontId="7" fillId="4" borderId="50" xfId="13" applyNumberFormat="1" applyFill="1" applyBorder="1" applyAlignment="1">
      <alignment horizontal="center" vertical="center"/>
    </xf>
    <xf numFmtId="40" fontId="7" fillId="4" borderId="41" xfId="9" applyNumberFormat="1" applyFont="1" applyFill="1" applyBorder="1" applyAlignment="1">
      <alignment vertical="center"/>
    </xf>
    <xf numFmtId="0" fontId="12" fillId="0" borderId="2" xfId="13" applyFont="1" applyBorder="1" applyAlignment="1">
      <alignment vertical="center"/>
    </xf>
    <xf numFmtId="0" fontId="14" fillId="0" borderId="109" xfId="13" applyFont="1" applyBorder="1" applyAlignment="1">
      <alignment horizontal="center" vertical="center"/>
    </xf>
    <xf numFmtId="0" fontId="14" fillId="0" borderId="110" xfId="13" applyFont="1" applyBorder="1" applyAlignment="1">
      <alignment horizontal="center" vertical="center"/>
    </xf>
    <xf numFmtId="38" fontId="7" fillId="4" borderId="22" xfId="9" applyFont="1" applyFill="1" applyBorder="1" applyAlignment="1">
      <alignment vertical="center"/>
    </xf>
    <xf numFmtId="0" fontId="12" fillId="0" borderId="0" xfId="13" applyFont="1" applyAlignment="1">
      <alignment vertical="center"/>
    </xf>
    <xf numFmtId="184" fontId="12" fillId="0" borderId="0" xfId="13" applyNumberFormat="1" applyFont="1" applyAlignment="1">
      <alignment vertical="center"/>
    </xf>
    <xf numFmtId="176" fontId="12" fillId="0" borderId="0" xfId="13" applyNumberFormat="1" applyFont="1" applyAlignment="1">
      <alignment vertical="center"/>
    </xf>
    <xf numFmtId="176" fontId="12" fillId="0" borderId="68" xfId="13" applyNumberFormat="1" applyFont="1" applyBorder="1" applyAlignment="1">
      <alignment horizontal="center" vertical="center"/>
    </xf>
    <xf numFmtId="0" fontId="12" fillId="0" borderId="69" xfId="13" applyFont="1" applyBorder="1" applyAlignment="1">
      <alignment vertical="center"/>
    </xf>
    <xf numFmtId="0" fontId="14" fillId="4" borderId="111" xfId="13" applyFont="1" applyFill="1" applyBorder="1" applyAlignment="1">
      <alignment vertical="center" shrinkToFit="1"/>
    </xf>
    <xf numFmtId="0" fontId="12" fillId="0" borderId="57" xfId="13" applyFont="1" applyBorder="1" applyAlignment="1">
      <alignment vertical="center"/>
    </xf>
    <xf numFmtId="0" fontId="14" fillId="4" borderId="113" xfId="13" applyFont="1" applyFill="1" applyBorder="1" applyAlignment="1">
      <alignment vertical="center" shrinkToFit="1"/>
    </xf>
    <xf numFmtId="0" fontId="12" fillId="3" borderId="114" xfId="13" applyFont="1" applyFill="1" applyBorder="1" applyAlignment="1">
      <alignment horizontal="center" vertical="center" wrapText="1"/>
    </xf>
    <xf numFmtId="0" fontId="12" fillId="3" borderId="115" xfId="13" applyFont="1" applyFill="1" applyBorder="1" applyAlignment="1">
      <alignment horizontal="center" vertical="center" wrapText="1"/>
    </xf>
    <xf numFmtId="0" fontId="21" fillId="4" borderId="117" xfId="13" applyFont="1" applyFill="1" applyBorder="1" applyAlignment="1">
      <alignment horizontal="center" vertical="center"/>
    </xf>
    <xf numFmtId="0" fontId="21" fillId="4" borderId="118" xfId="13" applyFont="1" applyFill="1" applyBorder="1" applyAlignment="1">
      <alignment horizontal="center" vertical="center"/>
    </xf>
    <xf numFmtId="0" fontId="21" fillId="4" borderId="119" xfId="13" applyFont="1" applyFill="1" applyBorder="1" applyAlignment="1">
      <alignment horizontal="center" vertical="center"/>
    </xf>
    <xf numFmtId="31" fontId="11" fillId="0" borderId="0" xfId="13" applyNumberFormat="1" applyFont="1" applyAlignment="1">
      <alignment vertical="center"/>
    </xf>
    <xf numFmtId="38" fontId="7" fillId="0" borderId="7" xfId="9" applyFont="1" applyBorder="1" applyAlignment="1">
      <alignment horizontal="center" vertical="center"/>
    </xf>
    <xf numFmtId="0" fontId="7" fillId="0" borderId="120" xfId="13" applyBorder="1" applyAlignment="1">
      <alignment horizontal="center" vertical="center" wrapText="1"/>
    </xf>
    <xf numFmtId="0" fontId="14" fillId="3" borderId="49" xfId="13" applyFont="1" applyFill="1" applyBorder="1" applyAlignment="1">
      <alignment horizontal="center" vertical="center"/>
    </xf>
    <xf numFmtId="179" fontId="7" fillId="4" borderId="121" xfId="13" applyNumberFormat="1" applyFill="1" applyBorder="1" applyAlignment="1">
      <alignment vertical="center"/>
    </xf>
    <xf numFmtId="40" fontId="7" fillId="4" borderId="108" xfId="9" applyNumberFormat="1" applyFont="1" applyFill="1" applyBorder="1" applyAlignment="1">
      <alignment vertical="center"/>
    </xf>
    <xf numFmtId="191" fontId="7" fillId="0" borderId="123" xfId="13" applyNumberFormat="1" applyBorder="1" applyAlignment="1">
      <alignment vertical="center"/>
    </xf>
    <xf numFmtId="0" fontId="7" fillId="4" borderId="121" xfId="13" applyFill="1" applyBorder="1" applyAlignment="1" applyProtection="1">
      <alignment vertical="center" shrinkToFit="1"/>
      <protection locked="0"/>
    </xf>
    <xf numFmtId="0" fontId="12" fillId="0" borderId="124" xfId="13" applyFont="1" applyBorder="1" applyAlignment="1">
      <alignment vertical="center"/>
    </xf>
    <xf numFmtId="0" fontId="7" fillId="0" borderId="125" xfId="13" applyBorder="1" applyAlignment="1">
      <alignment horizontal="center" vertical="center"/>
    </xf>
    <xf numFmtId="179" fontId="7" fillId="4" borderId="3" xfId="13" applyNumberFormat="1" applyFill="1" applyBorder="1" applyAlignment="1">
      <alignment vertical="center"/>
    </xf>
    <xf numFmtId="0" fontId="7" fillId="4" borderId="3" xfId="13" applyFill="1" applyBorder="1" applyAlignment="1" applyProtection="1">
      <alignment vertical="center" shrinkToFit="1"/>
      <protection locked="0"/>
    </xf>
    <xf numFmtId="0" fontId="12" fillId="0" borderId="126" xfId="13" applyFont="1" applyBorder="1" applyAlignment="1">
      <alignment vertical="center"/>
    </xf>
    <xf numFmtId="0" fontId="7" fillId="0" borderId="128" xfId="13" applyBorder="1" applyAlignment="1">
      <alignment horizontal="center" vertical="center"/>
    </xf>
    <xf numFmtId="0" fontId="7" fillId="4" borderId="131" xfId="13" applyFill="1" applyBorder="1" applyAlignment="1" applyProtection="1">
      <alignment vertical="center" shrinkToFit="1"/>
      <protection locked="0"/>
    </xf>
    <xf numFmtId="179" fontId="7" fillId="4" borderId="131" xfId="13" applyNumberFormat="1" applyFill="1" applyBorder="1" applyAlignment="1">
      <alignment vertical="center"/>
    </xf>
    <xf numFmtId="191" fontId="7" fillId="0" borderId="134" xfId="13" applyNumberFormat="1" applyBorder="1" applyAlignment="1">
      <alignment vertical="center"/>
    </xf>
    <xf numFmtId="0" fontId="7" fillId="3" borderId="126" xfId="13" applyFill="1" applyBorder="1" applyAlignment="1">
      <alignment horizontal="center" vertical="center"/>
    </xf>
    <xf numFmtId="181" fontId="7" fillId="4" borderId="3" xfId="13" applyNumberFormat="1" applyFill="1" applyBorder="1" applyAlignment="1">
      <alignment horizontal="center"/>
    </xf>
    <xf numFmtId="38" fontId="7" fillId="4" borderId="40" xfId="9" applyFont="1" applyFill="1" applyBorder="1" applyAlignment="1">
      <alignment horizontal="center"/>
    </xf>
    <xf numFmtId="0" fontId="7" fillId="4" borderId="44" xfId="13" applyFill="1" applyBorder="1" applyAlignment="1">
      <alignment vertical="center"/>
    </xf>
    <xf numFmtId="2" fontId="7" fillId="4" borderId="0" xfId="13" applyNumberFormat="1" applyFill="1" applyAlignment="1">
      <alignment vertical="center"/>
    </xf>
    <xf numFmtId="38" fontId="7" fillId="4" borderId="0" xfId="9" applyFont="1" applyFill="1" applyBorder="1" applyAlignment="1">
      <alignment vertical="center"/>
    </xf>
    <xf numFmtId="0" fontId="7" fillId="3" borderId="120" xfId="13" applyFill="1" applyBorder="1" applyAlignment="1">
      <alignment horizontal="center" vertical="center"/>
    </xf>
    <xf numFmtId="0" fontId="7" fillId="3" borderId="132" xfId="13" applyFill="1" applyBorder="1" applyAlignment="1">
      <alignment horizontal="center" vertical="center"/>
    </xf>
    <xf numFmtId="2" fontId="7" fillId="4" borderId="47" xfId="13" applyNumberFormat="1" applyFill="1" applyBorder="1" applyAlignment="1">
      <alignment vertical="center"/>
    </xf>
    <xf numFmtId="38" fontId="7" fillId="4" borderId="47" xfId="9" applyFont="1" applyFill="1" applyBorder="1" applyAlignment="1">
      <alignment vertical="center"/>
    </xf>
    <xf numFmtId="183" fontId="7" fillId="4" borderId="10" xfId="13" applyNumberFormat="1" applyFill="1" applyBorder="1" applyAlignment="1">
      <alignment vertical="center"/>
    </xf>
    <xf numFmtId="38" fontId="7" fillId="4" borderId="10" xfId="9" applyFont="1" applyFill="1" applyBorder="1" applyAlignment="1">
      <alignment vertical="center"/>
    </xf>
    <xf numFmtId="184" fontId="21" fillId="0" borderId="145" xfId="13" applyNumberFormat="1" applyFont="1" applyBorder="1" applyAlignment="1">
      <alignment horizontal="center" vertical="center"/>
    </xf>
    <xf numFmtId="176" fontId="12" fillId="4" borderId="116" xfId="13" applyNumberFormat="1" applyFont="1" applyFill="1" applyBorder="1" applyAlignment="1">
      <alignment horizontal="center" vertical="center" shrinkToFit="1"/>
    </xf>
    <xf numFmtId="180" fontId="7" fillId="0" borderId="19" xfId="13" applyNumberFormat="1" applyBorder="1" applyAlignment="1">
      <alignment vertical="center"/>
    </xf>
    <xf numFmtId="0" fontId="14" fillId="0" borderId="133" xfId="13" applyFont="1" applyBorder="1" applyAlignment="1">
      <alignment horizontal="center" vertical="center"/>
    </xf>
    <xf numFmtId="176" fontId="12" fillId="4" borderId="15" xfId="13" applyNumberFormat="1" applyFont="1" applyFill="1" applyBorder="1" applyAlignment="1">
      <alignment horizontal="center" vertical="center" shrinkToFit="1"/>
    </xf>
    <xf numFmtId="176" fontId="12" fillId="4" borderId="38" xfId="13" applyNumberFormat="1" applyFont="1" applyFill="1" applyBorder="1" applyAlignment="1">
      <alignment horizontal="center" vertical="center" shrinkToFit="1"/>
    </xf>
    <xf numFmtId="176" fontId="12" fillId="4" borderId="106" xfId="13" applyNumberFormat="1" applyFont="1" applyFill="1" applyBorder="1" applyAlignment="1">
      <alignment horizontal="center" vertical="center" shrinkToFit="1"/>
    </xf>
    <xf numFmtId="0" fontId="41" fillId="0" borderId="0" xfId="0" applyFont="1">
      <alignment vertical="center"/>
    </xf>
    <xf numFmtId="0" fontId="41" fillId="8" borderId="3" xfId="0" applyFont="1" applyFill="1" applyBorder="1">
      <alignment vertical="center"/>
    </xf>
    <xf numFmtId="0" fontId="41" fillId="9" borderId="3" xfId="0" applyFont="1" applyFill="1" applyBorder="1">
      <alignment vertical="center"/>
    </xf>
    <xf numFmtId="0" fontId="41" fillId="0" borderId="152" xfId="0" applyFont="1" applyBorder="1">
      <alignment vertical="center"/>
    </xf>
    <xf numFmtId="0" fontId="41" fillId="0" borderId="190" xfId="0" applyFont="1" applyBorder="1">
      <alignment vertical="center"/>
    </xf>
    <xf numFmtId="0" fontId="41" fillId="0" borderId="3" xfId="0" applyFont="1" applyBorder="1">
      <alignment vertical="center"/>
    </xf>
    <xf numFmtId="49" fontId="41" fillId="0" borderId="190" xfId="0" applyNumberFormat="1" applyFont="1" applyBorder="1">
      <alignment vertical="center"/>
    </xf>
    <xf numFmtId="0" fontId="41" fillId="0" borderId="160" xfId="0" applyFont="1" applyBorder="1">
      <alignment vertical="center"/>
    </xf>
    <xf numFmtId="49" fontId="41" fillId="0" borderId="190" xfId="0" quotePrefix="1" applyNumberFormat="1" applyFont="1" applyBorder="1">
      <alignment vertical="center"/>
    </xf>
    <xf numFmtId="0" fontId="41" fillId="9" borderId="41" xfId="0" applyFont="1" applyFill="1" applyBorder="1">
      <alignment vertical="center"/>
    </xf>
    <xf numFmtId="9" fontId="41" fillId="9" borderId="3" xfId="0" applyNumberFormat="1" applyFont="1" applyFill="1" applyBorder="1" applyAlignment="1">
      <alignment horizontal="center" vertical="center"/>
    </xf>
    <xf numFmtId="0" fontId="41" fillId="0" borderId="159" xfId="0" applyFont="1" applyBorder="1">
      <alignment vertical="center"/>
    </xf>
    <xf numFmtId="0" fontId="41" fillId="0" borderId="191" xfId="0" applyFont="1" applyBorder="1">
      <alignment vertical="center"/>
    </xf>
    <xf numFmtId="49" fontId="41" fillId="0" borderId="191" xfId="0" applyNumberFormat="1" applyFont="1" applyBorder="1">
      <alignment vertical="center"/>
    </xf>
    <xf numFmtId="0" fontId="37" fillId="2" borderId="77" xfId="0" applyFont="1" applyFill="1" applyBorder="1" applyAlignment="1">
      <alignment horizontal="right" vertical="center"/>
    </xf>
    <xf numFmtId="0" fontId="37" fillId="2" borderId="78" xfId="0" applyFont="1" applyFill="1" applyBorder="1" applyAlignment="1">
      <alignment horizontal="right" vertical="center"/>
    </xf>
    <xf numFmtId="0" fontId="37" fillId="2" borderId="76" xfId="0" applyFont="1" applyFill="1" applyBorder="1" applyAlignment="1">
      <alignment horizontal="right" vertical="center"/>
    </xf>
    <xf numFmtId="0" fontId="37" fillId="2" borderId="79" xfId="0" applyFont="1" applyFill="1" applyBorder="1" applyAlignment="1">
      <alignment horizontal="right" vertical="center"/>
    </xf>
    <xf numFmtId="0" fontId="36" fillId="0" borderId="0" xfId="14" applyFont="1"/>
    <xf numFmtId="0" fontId="17" fillId="0" borderId="10" xfId="14" applyFont="1" applyBorder="1"/>
    <xf numFmtId="0" fontId="44" fillId="0" borderId="0" xfId="14" applyFont="1" applyAlignment="1">
      <alignment horizontal="right"/>
    </xf>
    <xf numFmtId="0" fontId="46" fillId="0" borderId="0" xfId="14" applyFont="1"/>
    <xf numFmtId="0" fontId="47" fillId="0" borderId="0" xfId="14" applyFont="1"/>
    <xf numFmtId="0" fontId="48" fillId="0" borderId="34" xfId="14" applyFont="1" applyBorder="1" applyAlignment="1">
      <alignment horizontal="right" vertical="top" wrapText="1"/>
    </xf>
    <xf numFmtId="0" fontId="49" fillId="0" borderId="0" xfId="14" applyFont="1"/>
    <xf numFmtId="0" fontId="44" fillId="0" borderId="151" xfId="14" applyFont="1" applyBorder="1" applyAlignment="1">
      <alignment horizontal="center"/>
    </xf>
    <xf numFmtId="0" fontId="44" fillId="0" borderId="159" xfId="14" applyFont="1" applyBorder="1" applyAlignment="1">
      <alignment horizontal="center" vertical="top"/>
    </xf>
    <xf numFmtId="0" fontId="44" fillId="0" borderId="3" xfId="14" applyFont="1" applyBorder="1" applyAlignment="1">
      <alignment horizontal="center" vertical="center"/>
    </xf>
    <xf numFmtId="0" fontId="51" fillId="0" borderId="41" xfId="14" applyFont="1" applyBorder="1" applyAlignment="1">
      <alignment horizontal="center" vertical="center"/>
    </xf>
    <xf numFmtId="0" fontId="53" fillId="0" borderId="0" xfId="14" applyFont="1"/>
    <xf numFmtId="20" fontId="36" fillId="0" borderId="0" xfId="14" applyNumberFormat="1" applyFont="1"/>
    <xf numFmtId="3" fontId="47" fillId="0" borderId="52" xfId="14" applyNumberFormat="1" applyFont="1" applyBorder="1" applyAlignment="1">
      <alignment vertical="center"/>
    </xf>
    <xf numFmtId="0" fontId="54" fillId="0" borderId="0" xfId="14" applyFont="1"/>
    <xf numFmtId="38" fontId="41" fillId="0" borderId="3" xfId="9" applyFont="1" applyBorder="1">
      <alignment vertical="center"/>
    </xf>
    <xf numFmtId="0" fontId="41" fillId="11" borderId="3" xfId="0" applyFont="1" applyFill="1" applyBorder="1">
      <alignment vertical="center"/>
    </xf>
    <xf numFmtId="3" fontId="41" fillId="11" borderId="3" xfId="0" applyNumberFormat="1" applyFont="1" applyFill="1" applyBorder="1">
      <alignment vertical="center"/>
    </xf>
    <xf numFmtId="0" fontId="41" fillId="12" borderId="3" xfId="0" applyFont="1" applyFill="1" applyBorder="1">
      <alignment vertical="center"/>
    </xf>
    <xf numFmtId="0" fontId="56" fillId="13" borderId="3" xfId="0" applyFont="1" applyFill="1" applyBorder="1">
      <alignment vertical="center"/>
    </xf>
    <xf numFmtId="0" fontId="33" fillId="2" borderId="0" xfId="0" applyFont="1" applyFill="1">
      <alignment vertical="center"/>
    </xf>
    <xf numFmtId="0" fontId="37" fillId="2" borderId="68" xfId="0" applyFont="1" applyFill="1" applyBorder="1">
      <alignment vertical="center"/>
    </xf>
    <xf numFmtId="0" fontId="37" fillId="2" borderId="70" xfId="0" applyFont="1" applyFill="1" applyBorder="1">
      <alignment vertical="center"/>
    </xf>
    <xf numFmtId="0" fontId="37" fillId="2" borderId="69" xfId="0" applyFont="1" applyFill="1" applyBorder="1">
      <alignment vertical="center"/>
    </xf>
    <xf numFmtId="0" fontId="41" fillId="14" borderId="152" xfId="0" applyFont="1" applyFill="1" applyBorder="1">
      <alignment vertical="center"/>
    </xf>
    <xf numFmtId="0" fontId="41" fillId="14" borderId="189" xfId="0" applyFont="1" applyFill="1" applyBorder="1">
      <alignment vertical="center"/>
    </xf>
    <xf numFmtId="0" fontId="41" fillId="14" borderId="190" xfId="0" applyFont="1" applyFill="1" applyBorder="1">
      <alignment vertical="center"/>
    </xf>
    <xf numFmtId="3" fontId="41" fillId="14" borderId="189" xfId="0" applyNumberFormat="1" applyFont="1" applyFill="1" applyBorder="1">
      <alignment vertical="center"/>
    </xf>
    <xf numFmtId="49" fontId="41" fillId="14" borderId="189" xfId="0" applyNumberFormat="1" applyFont="1" applyFill="1" applyBorder="1">
      <alignment vertical="center"/>
    </xf>
    <xf numFmtId="186" fontId="41" fillId="14" borderId="189" xfId="0" applyNumberFormat="1" applyFont="1" applyFill="1" applyBorder="1">
      <alignment vertical="center"/>
    </xf>
    <xf numFmtId="3" fontId="41" fillId="14" borderId="190" xfId="0" applyNumberFormat="1" applyFont="1" applyFill="1" applyBorder="1">
      <alignment vertical="center"/>
    </xf>
    <xf numFmtId="49" fontId="41" fillId="14" borderId="190" xfId="0" applyNumberFormat="1" applyFont="1" applyFill="1" applyBorder="1">
      <alignment vertical="center"/>
    </xf>
    <xf numFmtId="186" fontId="41" fillId="14" borderId="190" xfId="0" applyNumberFormat="1" applyFont="1" applyFill="1" applyBorder="1">
      <alignment vertical="center"/>
    </xf>
    <xf numFmtId="0" fontId="41" fillId="14" borderId="159" xfId="0" applyFont="1" applyFill="1" applyBorder="1">
      <alignment vertical="center"/>
    </xf>
    <xf numFmtId="0" fontId="41" fillId="14" borderId="191" xfId="0" applyFont="1" applyFill="1" applyBorder="1">
      <alignment vertical="center"/>
    </xf>
    <xf numFmtId="3" fontId="41" fillId="14" borderId="191" xfId="0" applyNumberFormat="1" applyFont="1" applyFill="1" applyBorder="1">
      <alignment vertical="center"/>
    </xf>
    <xf numFmtId="49" fontId="41" fillId="14" borderId="191" xfId="0" applyNumberFormat="1" applyFont="1" applyFill="1" applyBorder="1">
      <alignment vertical="center"/>
    </xf>
    <xf numFmtId="186" fontId="41" fillId="14" borderId="191" xfId="0" applyNumberFormat="1" applyFont="1" applyFill="1" applyBorder="1">
      <alignment vertical="center"/>
    </xf>
    <xf numFmtId="14" fontId="41" fillId="0" borderId="40" xfId="0" applyNumberFormat="1" applyFont="1" applyBorder="1" applyAlignment="1">
      <alignment horizontal="center" vertical="center"/>
    </xf>
    <xf numFmtId="14" fontId="41" fillId="0" borderId="41" xfId="0" applyNumberFormat="1" applyFont="1" applyBorder="1">
      <alignment vertical="center"/>
    </xf>
    <xf numFmtId="0" fontId="41" fillId="0" borderId="34" xfId="0" applyFont="1" applyBorder="1" applyAlignment="1">
      <alignment horizontal="center" vertical="center"/>
    </xf>
    <xf numFmtId="14" fontId="41" fillId="0" borderId="0" xfId="0" applyNumberFormat="1" applyFont="1">
      <alignment vertical="center"/>
    </xf>
    <xf numFmtId="176" fontId="12" fillId="4" borderId="56" xfId="13" applyNumberFormat="1" applyFont="1" applyFill="1" applyBorder="1" applyAlignment="1">
      <alignment horizontal="center" vertical="center" shrinkToFit="1"/>
    </xf>
    <xf numFmtId="176" fontId="12" fillId="4" borderId="112" xfId="13" applyNumberFormat="1" applyFont="1" applyFill="1" applyBorder="1" applyAlignment="1">
      <alignment horizontal="center" vertical="center" shrinkToFit="1"/>
    </xf>
    <xf numFmtId="0" fontId="57" fillId="0" borderId="0" xfId="0" applyFont="1">
      <alignment vertical="center"/>
    </xf>
    <xf numFmtId="0" fontId="57" fillId="0" borderId="3" xfId="0" applyFont="1" applyBorder="1">
      <alignment vertical="center"/>
    </xf>
    <xf numFmtId="0" fontId="57" fillId="15" borderId="3" xfId="0" applyFont="1" applyFill="1" applyBorder="1">
      <alignment vertical="center"/>
    </xf>
    <xf numFmtId="0" fontId="58" fillId="0" borderId="0" xfId="0" applyFont="1">
      <alignment vertical="center"/>
    </xf>
    <xf numFmtId="0" fontId="59" fillId="17" borderId="3" xfId="13" applyFont="1" applyFill="1" applyBorder="1" applyAlignment="1">
      <alignment vertical="center"/>
    </xf>
    <xf numFmtId="0" fontId="59" fillId="17" borderId="160" xfId="13" applyFont="1" applyFill="1" applyBorder="1" applyAlignment="1">
      <alignment vertical="center"/>
    </xf>
    <xf numFmtId="20" fontId="59" fillId="17" borderId="3" xfId="13" applyNumberFormat="1" applyFont="1" applyFill="1" applyBorder="1" applyAlignment="1">
      <alignment vertical="center"/>
    </xf>
    <xf numFmtId="0" fontId="7" fillId="17" borderId="159" xfId="13" applyFill="1" applyBorder="1" applyAlignment="1">
      <alignment vertical="center"/>
    </xf>
    <xf numFmtId="6" fontId="59" fillId="17" borderId="3" xfId="13" applyNumberFormat="1" applyFont="1" applyFill="1" applyBorder="1" applyAlignment="1">
      <alignment vertical="center"/>
    </xf>
    <xf numFmtId="194" fontId="12" fillId="17" borderId="147" xfId="13" applyNumberFormat="1" applyFont="1" applyFill="1" applyBorder="1" applyAlignment="1">
      <alignment vertical="center"/>
    </xf>
    <xf numFmtId="194" fontId="12" fillId="17" borderId="124" xfId="13" applyNumberFormat="1" applyFont="1" applyFill="1" applyBorder="1" applyAlignment="1">
      <alignment vertical="center"/>
    </xf>
    <xf numFmtId="194" fontId="12" fillId="17" borderId="149" xfId="13" applyNumberFormat="1" applyFont="1" applyFill="1" applyBorder="1" applyAlignment="1">
      <alignment vertical="center"/>
    </xf>
    <xf numFmtId="194" fontId="12" fillId="17" borderId="126" xfId="13" applyNumberFormat="1" applyFont="1" applyFill="1" applyBorder="1" applyAlignment="1">
      <alignment vertical="center"/>
    </xf>
    <xf numFmtId="194" fontId="12" fillId="17" borderId="150" xfId="13" applyNumberFormat="1" applyFont="1" applyFill="1" applyBorder="1" applyAlignment="1">
      <alignment vertical="center"/>
    </xf>
    <xf numFmtId="194" fontId="12" fillId="17" borderId="132" xfId="13" applyNumberFormat="1" applyFont="1" applyFill="1" applyBorder="1" applyAlignment="1">
      <alignment vertical="center"/>
    </xf>
    <xf numFmtId="0" fontId="12" fillId="0" borderId="126" xfId="13" applyFont="1" applyBorder="1" applyAlignment="1">
      <alignment vertical="center" wrapText="1"/>
    </xf>
    <xf numFmtId="0" fontId="14" fillId="4" borderId="85" xfId="13" applyFont="1" applyFill="1" applyBorder="1" applyAlignment="1">
      <alignment vertical="center" shrinkToFit="1"/>
    </xf>
    <xf numFmtId="195" fontId="12" fillId="4" borderId="187" xfId="13" applyNumberFormat="1" applyFont="1" applyFill="1" applyBorder="1" applyAlignment="1">
      <alignment horizontal="center" vertical="center" shrinkToFit="1"/>
    </xf>
    <xf numFmtId="176" fontId="12" fillId="4" borderId="108" xfId="13" applyNumberFormat="1" applyFont="1" applyFill="1" applyBorder="1" applyAlignment="1">
      <alignment horizontal="center" vertical="center" shrinkToFit="1"/>
    </xf>
    <xf numFmtId="195" fontId="12" fillId="4" borderId="16" xfId="13" applyNumberFormat="1" applyFont="1" applyFill="1" applyBorder="1" applyAlignment="1">
      <alignment horizontal="center" vertical="center" shrinkToFit="1"/>
    </xf>
    <xf numFmtId="195" fontId="12" fillId="4" borderId="17" xfId="13" applyNumberFormat="1" applyFont="1" applyFill="1" applyBorder="1" applyAlignment="1">
      <alignment horizontal="center" vertical="center" shrinkToFit="1"/>
    </xf>
    <xf numFmtId="0" fontId="14" fillId="4" borderId="90" xfId="13" applyFont="1" applyFill="1" applyBorder="1" applyAlignment="1">
      <alignment vertical="center" shrinkToFit="1"/>
    </xf>
    <xf numFmtId="195" fontId="12" fillId="4" borderId="127" xfId="13" applyNumberFormat="1" applyFont="1" applyFill="1" applyBorder="1" applyAlignment="1">
      <alignment horizontal="center" vertical="center" shrinkToFit="1"/>
    </xf>
    <xf numFmtId="176" fontId="12" fillId="4" borderId="41" xfId="13" applyNumberFormat="1" applyFont="1" applyFill="1" applyBorder="1" applyAlignment="1">
      <alignment horizontal="center" vertical="center" shrinkToFit="1"/>
    </xf>
    <xf numFmtId="195" fontId="12" fillId="4" borderId="34" xfId="13" applyNumberFormat="1" applyFont="1" applyFill="1" applyBorder="1" applyAlignment="1">
      <alignment horizontal="center" vertical="center" shrinkToFit="1"/>
    </xf>
    <xf numFmtId="195" fontId="12" fillId="4" borderId="40" xfId="13" applyNumberFormat="1" applyFont="1" applyFill="1" applyBorder="1" applyAlignment="1">
      <alignment horizontal="center" vertical="center" shrinkToFit="1"/>
    </xf>
    <xf numFmtId="0" fontId="14" fillId="4" borderId="29" xfId="13" applyFont="1" applyFill="1" applyBorder="1" applyAlignment="1">
      <alignment vertical="center" shrinkToFit="1"/>
    </xf>
    <xf numFmtId="195" fontId="12" fillId="4" borderId="107" xfId="13" applyNumberFormat="1" applyFont="1" applyFill="1" applyBorder="1" applyAlignment="1">
      <alignment horizontal="center" vertical="center" shrinkToFit="1"/>
    </xf>
    <xf numFmtId="176" fontId="12" fillId="4" borderId="5" xfId="13" applyNumberFormat="1" applyFont="1" applyFill="1" applyBorder="1" applyAlignment="1">
      <alignment horizontal="center" vertical="center" shrinkToFit="1"/>
    </xf>
    <xf numFmtId="195" fontId="12" fillId="4" borderId="2" xfId="13" applyNumberFormat="1" applyFont="1" applyFill="1" applyBorder="1" applyAlignment="1">
      <alignment horizontal="center" vertical="center" shrinkToFit="1"/>
    </xf>
    <xf numFmtId="195" fontId="12" fillId="4" borderId="6" xfId="13" applyNumberFormat="1" applyFont="1" applyFill="1" applyBorder="1" applyAlignment="1">
      <alignment horizontal="center" vertical="center" shrinkToFit="1"/>
    </xf>
    <xf numFmtId="195" fontId="21" fillId="4" borderId="140" xfId="13" applyNumberFormat="1" applyFont="1" applyFill="1" applyBorder="1" applyAlignment="1">
      <alignment horizontal="right" vertical="center"/>
    </xf>
    <xf numFmtId="195" fontId="21" fillId="0" borderId="144" xfId="13" applyNumberFormat="1" applyFont="1" applyBorder="1" applyAlignment="1">
      <alignment horizontal="right" vertical="center"/>
    </xf>
    <xf numFmtId="0" fontId="7" fillId="0" borderId="0" xfId="13" applyAlignment="1">
      <alignment horizontal="right" vertical="center"/>
    </xf>
    <xf numFmtId="0" fontId="7" fillId="0" borderId="10" xfId="13" applyBorder="1" applyAlignment="1">
      <alignment horizontal="right" vertical="center"/>
    </xf>
    <xf numFmtId="0" fontId="60" fillId="0" borderId="0" xfId="0" applyFont="1">
      <alignment vertical="center"/>
    </xf>
    <xf numFmtId="0" fontId="7" fillId="0" borderId="0" xfId="0" applyFont="1">
      <alignment vertical="center"/>
    </xf>
    <xf numFmtId="195" fontId="7" fillId="4" borderId="49" xfId="13" applyNumberFormat="1" applyFill="1" applyBorder="1" applyAlignment="1">
      <alignment vertical="center"/>
    </xf>
    <xf numFmtId="195" fontId="7" fillId="4" borderId="122" xfId="13" applyNumberFormat="1" applyFill="1" applyBorder="1" applyAlignment="1">
      <alignment vertical="center"/>
    </xf>
    <xf numFmtId="195" fontId="7" fillId="4" borderId="108" xfId="13" applyNumberFormat="1" applyFill="1" applyBorder="1" applyAlignment="1">
      <alignment vertical="center"/>
    </xf>
    <xf numFmtId="195" fontId="7" fillId="4" borderId="121" xfId="13" applyNumberFormat="1" applyFill="1" applyBorder="1" applyAlignment="1">
      <alignment vertical="center"/>
    </xf>
    <xf numFmtId="195" fontId="7" fillId="4" borderId="64" xfId="13" applyNumberFormat="1" applyFill="1" applyBorder="1" applyAlignment="1">
      <alignment vertical="center"/>
    </xf>
    <xf numFmtId="195" fontId="7" fillId="4" borderId="39" xfId="13" applyNumberFormat="1" applyFill="1" applyBorder="1" applyAlignment="1">
      <alignment vertical="center"/>
    </xf>
    <xf numFmtId="195" fontId="7" fillId="4" borderId="34" xfId="13" applyNumberFormat="1" applyFill="1" applyBorder="1" applyAlignment="1">
      <alignment vertical="center"/>
    </xf>
    <xf numFmtId="195" fontId="7" fillId="4" borderId="41" xfId="13" applyNumberFormat="1" applyFill="1" applyBorder="1" applyAlignment="1">
      <alignment vertical="center"/>
    </xf>
    <xf numFmtId="195" fontId="7" fillId="4" borderId="3" xfId="13" applyNumberFormat="1" applyFill="1" applyBorder="1" applyAlignment="1">
      <alignment vertical="center"/>
    </xf>
    <xf numFmtId="195" fontId="7" fillId="4" borderId="117" xfId="13" applyNumberFormat="1" applyFill="1" applyBorder="1" applyAlignment="1">
      <alignment vertical="center"/>
    </xf>
    <xf numFmtId="195" fontId="7" fillId="4" borderId="133" xfId="13" applyNumberFormat="1" applyFill="1" applyBorder="1" applyAlignment="1">
      <alignment vertical="center"/>
    </xf>
    <xf numFmtId="195" fontId="7" fillId="4" borderId="22" xfId="13" applyNumberFormat="1" applyFill="1" applyBorder="1" applyAlignment="1">
      <alignment vertical="center"/>
    </xf>
    <xf numFmtId="195" fontId="7" fillId="4" borderId="135" xfId="13" applyNumberFormat="1" applyFill="1" applyBorder="1" applyAlignment="1">
      <alignment vertical="center"/>
    </xf>
    <xf numFmtId="195" fontId="7" fillId="4" borderId="40" xfId="13" applyNumberFormat="1" applyFill="1" applyBorder="1" applyAlignment="1">
      <alignment horizontal="center"/>
    </xf>
    <xf numFmtId="195" fontId="7" fillId="4" borderId="3" xfId="13" applyNumberFormat="1" applyFill="1" applyBorder="1" applyAlignment="1">
      <alignment horizontal="center"/>
    </xf>
    <xf numFmtId="176" fontId="12" fillId="0" borderId="172" xfId="13" applyNumberFormat="1" applyFont="1" applyBorder="1" applyAlignment="1">
      <alignment vertical="center"/>
    </xf>
    <xf numFmtId="195" fontId="12" fillId="0" borderId="53" xfId="13" applyNumberFormat="1" applyFont="1" applyBorder="1" applyAlignment="1">
      <alignment vertical="center" shrinkToFit="1"/>
    </xf>
    <xf numFmtId="195" fontId="12" fillId="0" borderId="136" xfId="13" applyNumberFormat="1" applyFont="1" applyBorder="1" applyAlignment="1">
      <alignment vertical="center" shrinkToFit="1"/>
    </xf>
    <xf numFmtId="195" fontId="12" fillId="0" borderId="54" xfId="13" applyNumberFormat="1" applyFont="1" applyBorder="1" applyAlignment="1">
      <alignment vertical="center" shrinkToFit="1"/>
    </xf>
    <xf numFmtId="195" fontId="12" fillId="0" borderId="55" xfId="13" applyNumberFormat="1" applyFont="1" applyBorder="1" applyAlignment="1">
      <alignment vertical="center" shrinkToFit="1"/>
    </xf>
    <xf numFmtId="184" fontId="12" fillId="0" borderId="137" xfId="13" applyNumberFormat="1" applyFont="1" applyBorder="1" applyAlignment="1">
      <alignment vertical="center" shrinkToFit="1"/>
    </xf>
    <xf numFmtId="186" fontId="12" fillId="0" borderId="57" xfId="8" applyNumberFormat="1" applyFont="1" applyBorder="1" applyAlignment="1">
      <alignment horizontal="center" vertical="center" shrinkToFit="1"/>
    </xf>
    <xf numFmtId="184" fontId="28" fillId="0" borderId="138" xfId="13" applyNumberFormat="1" applyFont="1" applyBorder="1" applyAlignment="1">
      <alignment horizontal="center" vertical="center" shrinkToFit="1"/>
    </xf>
    <xf numFmtId="195" fontId="12" fillId="0" borderId="58" xfId="13" applyNumberFormat="1" applyFont="1" applyBorder="1" applyAlignment="1">
      <alignment vertical="center" shrinkToFit="1"/>
    </xf>
    <xf numFmtId="186" fontId="12" fillId="0" borderId="60" xfId="8" applyNumberFormat="1" applyFont="1" applyBorder="1" applyAlignment="1">
      <alignment horizontal="center" vertical="center" shrinkToFit="1"/>
    </xf>
    <xf numFmtId="184" fontId="28" fillId="0" borderId="139" xfId="13" applyNumberFormat="1" applyFont="1" applyBorder="1" applyAlignment="1">
      <alignment horizontal="center" vertical="center" shrinkToFit="1"/>
    </xf>
    <xf numFmtId="176" fontId="12" fillId="0" borderId="60" xfId="13" applyNumberFormat="1" applyFont="1" applyBorder="1" applyAlignment="1">
      <alignment vertical="center" shrinkToFit="1"/>
    </xf>
    <xf numFmtId="195" fontId="12" fillId="0" borderId="137" xfId="13" applyNumberFormat="1" applyFont="1" applyBorder="1" applyAlignment="1">
      <alignment vertical="center" shrinkToFit="1"/>
    </xf>
    <xf numFmtId="0" fontId="14" fillId="4" borderId="95" xfId="13" applyFont="1" applyFill="1" applyBorder="1" applyAlignment="1">
      <alignment vertical="center" shrinkToFit="1"/>
    </xf>
    <xf numFmtId="176" fontId="12" fillId="4" borderId="22" xfId="13" applyNumberFormat="1" applyFont="1" applyFill="1" applyBorder="1" applyAlignment="1">
      <alignment horizontal="center" vertical="center" shrinkToFit="1"/>
    </xf>
    <xf numFmtId="195" fontId="12" fillId="4" borderId="20" xfId="13" applyNumberFormat="1" applyFont="1" applyFill="1" applyBorder="1" applyAlignment="1">
      <alignment horizontal="center" vertical="center" shrinkToFit="1"/>
    </xf>
    <xf numFmtId="195" fontId="12" fillId="4" borderId="21" xfId="13" applyNumberFormat="1" applyFont="1" applyFill="1" applyBorder="1" applyAlignment="1">
      <alignment horizontal="center" vertical="center" shrinkToFit="1"/>
    </xf>
    <xf numFmtId="38" fontId="47" fillId="0" borderId="5" xfId="11" applyFont="1" applyBorder="1" applyAlignment="1">
      <alignment horizontal="right" vertical="center"/>
    </xf>
    <xf numFmtId="38" fontId="47" fillId="0" borderId="201" xfId="11" applyFont="1" applyBorder="1" applyAlignment="1">
      <alignment horizontal="right" vertical="center"/>
    </xf>
    <xf numFmtId="38" fontId="47" fillId="0" borderId="142" xfId="11" applyFont="1" applyFill="1" applyBorder="1" applyAlignment="1">
      <alignment horizontal="right" vertical="center"/>
    </xf>
    <xf numFmtId="38" fontId="47" fillId="0" borderId="9" xfId="11" applyFont="1" applyBorder="1" applyAlignment="1">
      <alignment horizontal="right" vertical="center"/>
    </xf>
    <xf numFmtId="38" fontId="47" fillId="0" borderId="199" xfId="11" applyFont="1" applyBorder="1" applyAlignment="1">
      <alignment horizontal="right" vertical="center"/>
    </xf>
    <xf numFmtId="38" fontId="47" fillId="0" borderId="200" xfId="11" applyFont="1" applyBorder="1" applyAlignment="1">
      <alignment horizontal="right" vertical="center"/>
    </xf>
    <xf numFmtId="0" fontId="52" fillId="0" borderId="11" xfId="14" applyFont="1" applyBorder="1" applyAlignment="1">
      <alignment horizontal="left" vertical="center" shrinkToFit="1"/>
    </xf>
    <xf numFmtId="38" fontId="47" fillId="0" borderId="7" xfId="11" applyFont="1" applyBorder="1" applyAlignment="1">
      <alignment horizontal="right" vertical="center"/>
    </xf>
    <xf numFmtId="38" fontId="47" fillId="0" borderId="203" xfId="11" applyFont="1" applyBorder="1" applyAlignment="1">
      <alignment horizontal="right" vertical="center"/>
    </xf>
    <xf numFmtId="0" fontId="52" fillId="0" borderId="160" xfId="14" applyFont="1" applyBorder="1" applyAlignment="1">
      <alignment vertical="center" shrinkToFit="1"/>
    </xf>
    <xf numFmtId="0" fontId="52" fillId="0" borderId="159" xfId="14" applyFont="1" applyBorder="1" applyAlignment="1">
      <alignment vertical="center" shrinkToFit="1"/>
    </xf>
    <xf numFmtId="0" fontId="52" fillId="0" borderId="152" xfId="14" applyFont="1" applyBorder="1" applyAlignment="1">
      <alignment vertical="center" shrinkToFit="1"/>
    </xf>
    <xf numFmtId="0" fontId="52" fillId="0" borderId="6" xfId="14" applyFont="1" applyBorder="1" applyAlignment="1">
      <alignment vertical="center" shrinkToFit="1"/>
    </xf>
    <xf numFmtId="0" fontId="52" fillId="0" borderId="8" xfId="14" applyFont="1" applyBorder="1" applyAlignment="1">
      <alignment horizontal="left" vertical="center" shrinkToFit="1"/>
    </xf>
    <xf numFmtId="0" fontId="52" fillId="0" borderId="159" xfId="14" applyFont="1" applyBorder="1" applyAlignment="1">
      <alignment horizontal="left" vertical="center" shrinkToFit="1"/>
    </xf>
    <xf numFmtId="0" fontId="14" fillId="0" borderId="49" xfId="13" applyFont="1" applyBorder="1" applyAlignment="1">
      <alignment horizontal="center" vertical="center"/>
    </xf>
    <xf numFmtId="195" fontId="21" fillId="4" borderId="141" xfId="13" applyNumberFormat="1" applyFont="1" applyFill="1" applyBorder="1" applyAlignment="1">
      <alignment horizontal="right" vertical="center"/>
    </xf>
    <xf numFmtId="195" fontId="21" fillId="0" borderId="142" xfId="13" applyNumberFormat="1" applyFont="1" applyBorder="1" applyAlignment="1">
      <alignment horizontal="center" vertical="center"/>
    </xf>
    <xf numFmtId="184" fontId="21" fillId="0" borderId="143" xfId="13" applyNumberFormat="1" applyFont="1" applyBorder="1" applyAlignment="1">
      <alignment horizontal="right" vertical="center"/>
    </xf>
    <xf numFmtId="0" fontId="12" fillId="0" borderId="0" xfId="13" applyFont="1" applyAlignment="1">
      <alignment horizontal="left" wrapText="1"/>
    </xf>
    <xf numFmtId="178" fontId="7" fillId="0" borderId="0" xfId="13" applyNumberFormat="1" applyAlignment="1">
      <alignment vertical="center"/>
    </xf>
    <xf numFmtId="0" fontId="7" fillId="3" borderId="126" xfId="13" applyFill="1" applyBorder="1" applyAlignment="1">
      <alignment vertical="center"/>
    </xf>
    <xf numFmtId="180" fontId="7" fillId="0" borderId="106" xfId="13" applyNumberFormat="1" applyBorder="1" applyAlignment="1">
      <alignment vertical="center"/>
    </xf>
    <xf numFmtId="0" fontId="14" fillId="0" borderId="67" xfId="13" applyFont="1" applyBorder="1" applyAlignment="1">
      <alignment horizontal="center" vertical="center"/>
    </xf>
    <xf numFmtId="176" fontId="36" fillId="0" borderId="0" xfId="14" quotePrefix="1" applyNumberFormat="1" applyFont="1" applyAlignment="1">
      <alignment vertical="center"/>
    </xf>
    <xf numFmtId="0" fontId="41" fillId="18" borderId="189" xfId="0" applyFont="1" applyFill="1" applyBorder="1">
      <alignment vertical="center"/>
    </xf>
    <xf numFmtId="0" fontId="41" fillId="18" borderId="190" xfId="0" applyFont="1" applyFill="1" applyBorder="1">
      <alignment vertical="center"/>
    </xf>
    <xf numFmtId="0" fontId="41" fillId="18" borderId="191" xfId="0" applyFont="1" applyFill="1" applyBorder="1">
      <alignment vertical="center"/>
    </xf>
    <xf numFmtId="3" fontId="41" fillId="18" borderId="189" xfId="0" applyNumberFormat="1" applyFont="1" applyFill="1" applyBorder="1">
      <alignment vertical="center"/>
    </xf>
    <xf numFmtId="3" fontId="41" fillId="18" borderId="190" xfId="0" applyNumberFormat="1" applyFont="1" applyFill="1" applyBorder="1">
      <alignment vertical="center"/>
    </xf>
    <xf numFmtId="3" fontId="41" fillId="18" borderId="191" xfId="0" applyNumberFormat="1" applyFont="1" applyFill="1" applyBorder="1">
      <alignment vertical="center"/>
    </xf>
    <xf numFmtId="186" fontId="41" fillId="18" borderId="189" xfId="0" applyNumberFormat="1" applyFont="1" applyFill="1" applyBorder="1">
      <alignment vertical="center"/>
    </xf>
    <xf numFmtId="186" fontId="41" fillId="18" borderId="190" xfId="0" applyNumberFormat="1" applyFont="1" applyFill="1" applyBorder="1">
      <alignment vertical="center"/>
    </xf>
    <xf numFmtId="186" fontId="41" fillId="18" borderId="191" xfId="0" applyNumberFormat="1" applyFont="1" applyFill="1" applyBorder="1">
      <alignment vertical="center"/>
    </xf>
    <xf numFmtId="38" fontId="41" fillId="18" borderId="3" xfId="9" applyFont="1" applyFill="1" applyBorder="1">
      <alignment vertical="center"/>
    </xf>
    <xf numFmtId="38" fontId="41" fillId="18" borderId="160" xfId="9" applyFont="1" applyFill="1" applyBorder="1">
      <alignment vertical="center"/>
    </xf>
    <xf numFmtId="38" fontId="41" fillId="18" borderId="130" xfId="9" applyFont="1" applyFill="1" applyBorder="1" applyAlignment="1">
      <alignment vertical="center"/>
    </xf>
    <xf numFmtId="38" fontId="41" fillId="18" borderId="40" xfId="9" applyFont="1" applyFill="1" applyBorder="1">
      <alignment vertical="center"/>
    </xf>
    <xf numFmtId="38" fontId="41" fillId="18" borderId="40" xfId="9" applyFont="1" applyFill="1" applyBorder="1" applyAlignment="1">
      <alignment vertical="center"/>
    </xf>
    <xf numFmtId="3" fontId="41" fillId="18" borderId="3" xfId="0" applyNumberFormat="1" applyFont="1" applyFill="1" applyBorder="1">
      <alignment vertical="center"/>
    </xf>
    <xf numFmtId="0" fontId="41" fillId="18" borderId="3" xfId="0" applyFont="1" applyFill="1" applyBorder="1">
      <alignment vertical="center"/>
    </xf>
    <xf numFmtId="3" fontId="41" fillId="19" borderId="189" xfId="0" applyNumberFormat="1" applyFont="1" applyFill="1" applyBorder="1">
      <alignment vertical="center"/>
    </xf>
    <xf numFmtId="3" fontId="41" fillId="19" borderId="190" xfId="0" applyNumberFormat="1" applyFont="1" applyFill="1" applyBorder="1">
      <alignment vertical="center"/>
    </xf>
    <xf numFmtId="3" fontId="41" fillId="19" borderId="191" xfId="0" applyNumberFormat="1" applyFont="1" applyFill="1" applyBorder="1">
      <alignment vertical="center"/>
    </xf>
    <xf numFmtId="0" fontId="56" fillId="18" borderId="0" xfId="0" applyFont="1" applyFill="1">
      <alignment vertical="center"/>
    </xf>
    <xf numFmtId="0" fontId="12" fillId="3" borderId="0" xfId="13" applyFont="1" applyFill="1" applyAlignment="1">
      <alignment horizontal="center" vertical="center" wrapText="1"/>
    </xf>
    <xf numFmtId="196" fontId="12" fillId="3" borderId="2" xfId="13" applyNumberFormat="1" applyFont="1" applyFill="1" applyBorder="1" applyAlignment="1">
      <alignment horizontal="center" vertical="center" wrapText="1"/>
    </xf>
    <xf numFmtId="0" fontId="12" fillId="3" borderId="2" xfId="13" applyFont="1" applyFill="1" applyBorder="1" applyAlignment="1">
      <alignment horizontal="center" vertical="center" wrapText="1"/>
    </xf>
    <xf numFmtId="0" fontId="52" fillId="0" borderId="159" xfId="14" quotePrefix="1" applyFont="1" applyBorder="1" applyAlignment="1">
      <alignment vertical="center" shrinkToFit="1"/>
    </xf>
    <xf numFmtId="0" fontId="41" fillId="7" borderId="41" xfId="0" applyFont="1" applyFill="1" applyBorder="1" applyAlignment="1">
      <alignment horizontal="center" vertical="center"/>
    </xf>
    <xf numFmtId="0" fontId="41" fillId="7" borderId="159" xfId="0" applyFont="1" applyFill="1" applyBorder="1" applyAlignment="1">
      <alignment horizontal="center" vertical="center"/>
    </xf>
    <xf numFmtId="0" fontId="12" fillId="0" borderId="132" xfId="13" applyFont="1" applyBorder="1" applyAlignment="1">
      <alignment vertical="center" wrapText="1"/>
    </xf>
    <xf numFmtId="176" fontId="41" fillId="0" borderId="190" xfId="0" applyNumberFormat="1" applyFont="1" applyBorder="1" applyAlignment="1">
      <alignment vertical="center" shrinkToFit="1"/>
    </xf>
    <xf numFmtId="176" fontId="41" fillId="0" borderId="191" xfId="0" applyNumberFormat="1" applyFont="1" applyBorder="1" applyAlignment="1">
      <alignment vertical="center" shrinkToFit="1"/>
    </xf>
    <xf numFmtId="176" fontId="41" fillId="14" borderId="189" xfId="0" applyNumberFormat="1" applyFont="1" applyFill="1" applyBorder="1" applyAlignment="1">
      <alignment vertical="center" shrinkToFit="1"/>
    </xf>
    <xf numFmtId="176" fontId="41" fillId="14" borderId="190" xfId="0" applyNumberFormat="1" applyFont="1" applyFill="1" applyBorder="1" applyAlignment="1">
      <alignment vertical="center" shrinkToFit="1"/>
    </xf>
    <xf numFmtId="176" fontId="41" fillId="14" borderId="191" xfId="0" applyNumberFormat="1" applyFont="1" applyFill="1" applyBorder="1" applyAlignment="1">
      <alignment vertical="center" shrinkToFit="1"/>
    </xf>
    <xf numFmtId="0" fontId="41" fillId="0" borderId="190" xfId="0" applyFont="1" applyBorder="1" applyAlignment="1">
      <alignment vertical="center" shrinkToFit="1"/>
    </xf>
    <xf numFmtId="0" fontId="41" fillId="0" borderId="191" xfId="0" applyFont="1" applyBorder="1" applyAlignment="1">
      <alignment vertical="center" shrinkToFit="1"/>
    </xf>
    <xf numFmtId="0" fontId="41" fillId="14" borderId="190" xfId="0" applyFont="1" applyFill="1" applyBorder="1" applyAlignment="1">
      <alignment vertical="center" shrinkToFit="1"/>
    </xf>
    <xf numFmtId="0" fontId="41" fillId="14" borderId="191" xfId="0" applyFont="1" applyFill="1" applyBorder="1" applyAlignment="1">
      <alignment vertical="center" shrinkToFit="1"/>
    </xf>
    <xf numFmtId="0" fontId="7" fillId="0" borderId="106" xfId="13" applyBorder="1" applyAlignment="1">
      <alignment horizontal="centerContinuous" vertical="center"/>
    </xf>
    <xf numFmtId="0" fontId="7" fillId="0" borderId="2" xfId="13" applyBorder="1" applyAlignment="1">
      <alignment horizontal="centerContinuous" vertical="center"/>
    </xf>
    <xf numFmtId="0" fontId="7" fillId="0" borderId="6" xfId="13" applyBorder="1" applyAlignment="1">
      <alignment horizontal="centerContinuous" vertical="center"/>
    </xf>
    <xf numFmtId="0" fontId="7" fillId="0" borderId="3" xfId="13" applyBorder="1" applyAlignment="1">
      <alignment vertical="center"/>
    </xf>
    <xf numFmtId="0" fontId="7" fillId="0" borderId="209" xfId="13" applyBorder="1" applyAlignment="1">
      <alignment horizontal="center" vertical="center" wrapText="1"/>
    </xf>
    <xf numFmtId="0" fontId="7" fillId="0" borderId="210" xfId="13" applyBorder="1" applyAlignment="1">
      <alignment horizontal="center" vertical="center" wrapText="1"/>
    </xf>
    <xf numFmtId="0" fontId="7" fillId="0" borderId="211" xfId="13" applyBorder="1" applyAlignment="1">
      <alignment horizontal="center" vertical="center" wrapText="1"/>
    </xf>
    <xf numFmtId="194" fontId="12" fillId="17" borderId="121" xfId="13" applyNumberFormat="1" applyFont="1" applyFill="1" applyBorder="1" applyAlignment="1">
      <alignment vertical="center"/>
    </xf>
    <xf numFmtId="194" fontId="12" fillId="17" borderId="3" xfId="13" applyNumberFormat="1" applyFont="1" applyFill="1" applyBorder="1" applyAlignment="1">
      <alignment vertical="center"/>
    </xf>
    <xf numFmtId="194" fontId="12" fillId="17" borderId="131" xfId="13" applyNumberFormat="1" applyFont="1" applyFill="1" applyBorder="1" applyAlignment="1">
      <alignment vertical="center"/>
    </xf>
    <xf numFmtId="2" fontId="7" fillId="0" borderId="3" xfId="13" applyNumberFormat="1" applyBorder="1" applyAlignment="1">
      <alignment vertical="center"/>
    </xf>
    <xf numFmtId="0" fontId="7" fillId="0" borderId="8" xfId="13" applyBorder="1" applyAlignment="1">
      <alignment vertical="center"/>
    </xf>
    <xf numFmtId="2" fontId="7" fillId="0" borderId="0" xfId="13" applyNumberFormat="1" applyAlignment="1">
      <alignment vertical="center"/>
    </xf>
    <xf numFmtId="0" fontId="61" fillId="0" borderId="0" xfId="0" applyFont="1">
      <alignment vertical="center"/>
    </xf>
    <xf numFmtId="0" fontId="62" fillId="0" borderId="0" xfId="13" applyFont="1" applyAlignment="1">
      <alignment vertical="center"/>
    </xf>
    <xf numFmtId="176" fontId="12" fillId="4" borderId="19" xfId="13" applyNumberFormat="1" applyFont="1" applyFill="1" applyBorder="1" applyAlignment="1">
      <alignment horizontal="center" vertical="center" shrinkToFit="1"/>
    </xf>
    <xf numFmtId="195" fontId="12" fillId="4" borderId="188" xfId="13" applyNumberFormat="1" applyFont="1" applyFill="1" applyBorder="1" applyAlignment="1">
      <alignment horizontal="center" vertical="center" shrinkToFit="1"/>
    </xf>
    <xf numFmtId="0" fontId="36" fillId="0" borderId="0" xfId="14" quotePrefix="1" applyFont="1"/>
    <xf numFmtId="176" fontId="41" fillId="0" borderId="189" xfId="0" applyNumberFormat="1" applyFont="1" applyBorder="1" applyAlignment="1">
      <alignment vertical="center" shrinkToFit="1"/>
    </xf>
    <xf numFmtId="0" fontId="41" fillId="0" borderId="189" xfId="0" applyFont="1" applyBorder="1">
      <alignment vertical="center"/>
    </xf>
    <xf numFmtId="9" fontId="41" fillId="0" borderId="0" xfId="0" applyNumberFormat="1" applyFont="1">
      <alignment vertical="center"/>
    </xf>
    <xf numFmtId="0" fontId="41" fillId="0" borderId="0" xfId="0" quotePrefix="1" applyFont="1">
      <alignment vertical="center"/>
    </xf>
    <xf numFmtId="49" fontId="41" fillId="0" borderId="189" xfId="0" applyNumberFormat="1" applyFont="1" applyBorder="1">
      <alignment vertical="center"/>
    </xf>
    <xf numFmtId="6" fontId="7" fillId="0" borderId="0" xfId="13" applyNumberFormat="1" applyAlignment="1">
      <alignment vertical="center"/>
    </xf>
    <xf numFmtId="8" fontId="7" fillId="0" borderId="0" xfId="13" applyNumberFormat="1" applyAlignment="1">
      <alignment vertical="center"/>
    </xf>
    <xf numFmtId="179" fontId="7" fillId="0" borderId="0" xfId="13" applyNumberFormat="1" applyAlignment="1">
      <alignment vertical="center"/>
    </xf>
    <xf numFmtId="186" fontId="41" fillId="0" borderId="191" xfId="0" applyNumberFormat="1" applyFont="1" applyBorder="1">
      <alignment vertical="center"/>
    </xf>
    <xf numFmtId="186" fontId="41" fillId="18" borderId="41" xfId="0" applyNumberFormat="1" applyFont="1" applyFill="1" applyBorder="1" applyAlignment="1">
      <alignment horizontal="center" vertical="center"/>
    </xf>
    <xf numFmtId="0" fontId="41" fillId="20" borderId="160" xfId="0" applyFont="1" applyFill="1" applyBorder="1" applyAlignment="1">
      <alignment horizontal="center" vertical="center"/>
    </xf>
    <xf numFmtId="0" fontId="41" fillId="20" borderId="159" xfId="0" applyFont="1" applyFill="1" applyBorder="1" applyAlignment="1">
      <alignment horizontal="center" vertical="center"/>
    </xf>
    <xf numFmtId="186" fontId="41" fillId="0" borderId="189" xfId="0" applyNumberFormat="1" applyFont="1" applyBorder="1">
      <alignment vertical="center"/>
    </xf>
    <xf numFmtId="186" fontId="41" fillId="0" borderId="190" xfId="0" applyNumberFormat="1" applyFont="1" applyBorder="1">
      <alignment vertical="center"/>
    </xf>
    <xf numFmtId="176" fontId="7" fillId="0" borderId="212" xfId="13" applyNumberFormat="1" applyBorder="1" applyAlignment="1">
      <alignment vertical="center"/>
    </xf>
    <xf numFmtId="0" fontId="7" fillId="0" borderId="212" xfId="13" applyBorder="1" applyAlignment="1">
      <alignment vertical="center"/>
    </xf>
    <xf numFmtId="176" fontId="12" fillId="0" borderId="212" xfId="13" applyNumberFormat="1" applyFont="1" applyBorder="1" applyAlignment="1">
      <alignment horizontal="center" vertical="center"/>
    </xf>
    <xf numFmtId="0" fontId="12" fillId="0" borderId="212" xfId="13" applyFont="1" applyBorder="1" applyAlignment="1">
      <alignment vertical="center" shrinkToFit="1"/>
    </xf>
    <xf numFmtId="186" fontId="7" fillId="0" borderId="212" xfId="13" applyNumberFormat="1" applyBorder="1" applyAlignment="1">
      <alignment vertical="center"/>
    </xf>
    <xf numFmtId="0" fontId="12" fillId="0" borderId="212" xfId="13" applyFont="1" applyBorder="1" applyAlignment="1">
      <alignment vertical="center"/>
    </xf>
    <xf numFmtId="195" fontId="7" fillId="0" borderId="124" xfId="13" applyNumberFormat="1" applyBorder="1" applyAlignment="1">
      <alignment vertical="center" shrinkToFit="1"/>
    </xf>
    <xf numFmtId="195" fontId="7" fillId="0" borderId="126" xfId="13" applyNumberFormat="1" applyBorder="1" applyAlignment="1">
      <alignment vertical="center" shrinkToFit="1"/>
    </xf>
    <xf numFmtId="195" fontId="7" fillId="0" borderId="120" xfId="13" applyNumberFormat="1" applyBorder="1" applyAlignment="1">
      <alignment vertical="center" shrinkToFit="1"/>
    </xf>
    <xf numFmtId="195" fontId="7" fillId="0" borderId="132" xfId="13" applyNumberFormat="1" applyBorder="1" applyAlignment="1">
      <alignment vertical="center" shrinkToFit="1"/>
    </xf>
    <xf numFmtId="176" fontId="12" fillId="4" borderId="57" xfId="13" applyNumberFormat="1" applyFont="1" applyFill="1" applyBorder="1" applyAlignment="1">
      <alignment horizontal="center" vertical="center" shrinkToFit="1"/>
    </xf>
    <xf numFmtId="195" fontId="12" fillId="4" borderId="88" xfId="13" applyNumberFormat="1" applyFont="1" applyFill="1" applyBorder="1" applyAlignment="1">
      <alignment horizontal="center" vertical="center" shrinkToFit="1"/>
    </xf>
    <xf numFmtId="176" fontId="66" fillId="4" borderId="112" xfId="13" applyNumberFormat="1" applyFont="1" applyFill="1" applyBorder="1" applyAlignment="1">
      <alignment horizontal="center" vertical="center" shrinkToFit="1"/>
    </xf>
    <xf numFmtId="0" fontId="41" fillId="0" borderId="189" xfId="0" applyFont="1" applyBorder="1" applyAlignment="1">
      <alignment vertical="center" shrinkToFit="1"/>
    </xf>
    <xf numFmtId="20" fontId="7" fillId="3" borderId="126" xfId="13" applyNumberFormat="1" applyFill="1" applyBorder="1" applyAlignment="1">
      <alignment vertical="center"/>
    </xf>
    <xf numFmtId="176" fontId="12" fillId="4" borderId="34" xfId="13" applyNumberFormat="1" applyFont="1" applyFill="1" applyBorder="1" applyAlignment="1">
      <alignment horizontal="center" vertical="center" shrinkToFit="1"/>
    </xf>
    <xf numFmtId="176" fontId="66" fillId="4" borderId="41" xfId="13" applyNumberFormat="1" applyFont="1" applyFill="1" applyBorder="1" applyAlignment="1">
      <alignment horizontal="center" vertical="center" shrinkToFit="1"/>
    </xf>
    <xf numFmtId="176" fontId="67" fillId="0" borderId="190" xfId="0" applyNumberFormat="1" applyFont="1" applyBorder="1" applyAlignment="1">
      <alignment vertical="center" shrinkToFit="1"/>
    </xf>
    <xf numFmtId="184" fontId="7" fillId="4" borderId="3" xfId="9" applyNumberFormat="1" applyFont="1" applyFill="1" applyBorder="1" applyAlignment="1">
      <alignment horizontal="center"/>
    </xf>
    <xf numFmtId="184" fontId="7" fillId="4" borderId="3" xfId="13" applyNumberFormat="1" applyFill="1" applyBorder="1" applyAlignment="1">
      <alignment horizontal="center"/>
    </xf>
    <xf numFmtId="31" fontId="7" fillId="3" borderId="0" xfId="13" applyNumberFormat="1" applyFill="1" applyAlignment="1">
      <alignment horizontal="right" vertical="center" shrinkToFit="1"/>
    </xf>
    <xf numFmtId="0" fontId="7" fillId="3" borderId="22" xfId="13" applyFill="1" applyBorder="1" applyAlignment="1">
      <alignment vertical="center" shrinkToFit="1"/>
    </xf>
    <xf numFmtId="0" fontId="7" fillId="3" borderId="20" xfId="13" applyFill="1" applyBorder="1" applyAlignment="1">
      <alignment vertical="center" shrinkToFit="1"/>
    </xf>
    <xf numFmtId="0" fontId="7" fillId="3" borderId="23" xfId="13" applyFill="1" applyBorder="1" applyAlignment="1">
      <alignment vertical="center" shrinkToFit="1"/>
    </xf>
    <xf numFmtId="0" fontId="7" fillId="0" borderId="19" xfId="13" applyBorder="1" applyAlignment="1">
      <alignment horizontal="center" vertical="center" shrinkToFit="1"/>
    </xf>
    <xf numFmtId="0" fontId="7" fillId="0" borderId="20" xfId="13" applyBorder="1" applyAlignment="1">
      <alignment horizontal="center" vertical="center" shrinkToFit="1"/>
    </xf>
    <xf numFmtId="0" fontId="7" fillId="0" borderId="21" xfId="13" applyBorder="1" applyAlignment="1">
      <alignment horizontal="center" vertical="center" shrinkToFit="1"/>
    </xf>
    <xf numFmtId="182" fontId="7" fillId="4" borderId="41" xfId="13" applyNumberFormat="1" applyFill="1" applyBorder="1" applyAlignment="1">
      <alignment vertical="center"/>
    </xf>
    <xf numFmtId="182" fontId="7" fillId="4" borderId="40" xfId="13" applyNumberFormat="1" applyFill="1" applyBorder="1" applyAlignment="1">
      <alignment vertical="center"/>
    </xf>
    <xf numFmtId="0" fontId="12" fillId="0" borderId="41" xfId="13" applyFont="1" applyBorder="1" applyAlignment="1">
      <alignment horizontal="center" vertical="center" shrinkToFit="1"/>
    </xf>
    <xf numFmtId="0" fontId="12" fillId="0" borderId="34" xfId="13" applyFont="1" applyBorder="1" applyAlignment="1">
      <alignment horizontal="center" vertical="center" shrinkToFit="1"/>
    </xf>
    <xf numFmtId="0" fontId="12" fillId="0" borderId="40" xfId="13" applyFont="1" applyBorder="1" applyAlignment="1">
      <alignment horizontal="center" vertical="center" shrinkToFit="1"/>
    </xf>
    <xf numFmtId="0" fontId="7" fillId="0" borderId="160" xfId="13" applyBorder="1" applyAlignment="1">
      <alignment horizontal="center" vertical="center" textRotation="255" shrinkToFit="1"/>
    </xf>
    <xf numFmtId="0" fontId="7" fillId="0" borderId="152" xfId="13" applyBorder="1" applyAlignment="1">
      <alignment horizontal="center" vertical="center" textRotation="255" shrinkToFit="1"/>
    </xf>
    <xf numFmtId="0" fontId="7" fillId="0" borderId="159" xfId="13" applyBorder="1" applyAlignment="1">
      <alignment horizontal="center" vertical="center" textRotation="255" shrinkToFit="1"/>
    </xf>
    <xf numFmtId="0" fontId="7" fillId="0" borderId="41" xfId="13" applyBorder="1" applyAlignment="1">
      <alignment horizontal="center" vertical="center"/>
    </xf>
    <xf numFmtId="0" fontId="7" fillId="0" borderId="34" xfId="13" applyBorder="1" applyAlignment="1">
      <alignment horizontal="center" vertical="center"/>
    </xf>
    <xf numFmtId="0" fontId="7" fillId="0" borderId="40" xfId="13" applyBorder="1" applyAlignment="1">
      <alignment vertical="center"/>
    </xf>
    <xf numFmtId="182" fontId="7" fillId="4" borderId="42" xfId="9" applyNumberFormat="1" applyFont="1" applyFill="1" applyBorder="1" applyAlignment="1">
      <alignment vertical="center"/>
    </xf>
    <xf numFmtId="182" fontId="7" fillId="4" borderId="43" xfId="13" applyNumberFormat="1" applyFill="1" applyBorder="1" applyAlignment="1">
      <alignment vertical="center"/>
    </xf>
    <xf numFmtId="0" fontId="7" fillId="0" borderId="42" xfId="13" applyBorder="1" applyAlignment="1">
      <alignment horizontal="center" vertical="center"/>
    </xf>
    <xf numFmtId="0" fontId="7" fillId="0" borderId="44" xfId="13" applyBorder="1" applyAlignment="1">
      <alignment horizontal="center" vertical="center"/>
    </xf>
    <xf numFmtId="0" fontId="7" fillId="0" borderId="43" xfId="13" applyBorder="1" applyAlignment="1">
      <alignment horizontal="center" vertical="center"/>
    </xf>
    <xf numFmtId="182" fontId="7" fillId="4" borderId="161" xfId="9" applyNumberFormat="1" applyFont="1" applyFill="1" applyBorder="1" applyAlignment="1">
      <alignment vertical="center"/>
    </xf>
    <xf numFmtId="182" fontId="7" fillId="4" borderId="162" xfId="13" applyNumberFormat="1" applyFill="1" applyBorder="1" applyAlignment="1">
      <alignment vertical="center"/>
    </xf>
    <xf numFmtId="0" fontId="7" fillId="0" borderId="163" xfId="13" applyBorder="1" applyAlignment="1">
      <alignment horizontal="center" vertical="center"/>
    </xf>
    <xf numFmtId="0" fontId="7" fillId="0" borderId="57" xfId="13" applyBorder="1" applyAlignment="1">
      <alignment horizontal="center" vertical="center"/>
    </xf>
    <xf numFmtId="0" fontId="7" fillId="0" borderId="164" xfId="13" applyBorder="1" applyAlignment="1">
      <alignment horizontal="center" vertical="center"/>
    </xf>
    <xf numFmtId="182" fontId="7" fillId="4" borderId="7" xfId="9" applyNumberFormat="1" applyFont="1" applyFill="1" applyBorder="1" applyAlignment="1">
      <alignment vertical="center"/>
    </xf>
    <xf numFmtId="182" fontId="7" fillId="4" borderId="8" xfId="13" applyNumberFormat="1" applyFill="1" applyBorder="1" applyAlignment="1">
      <alignment vertical="center"/>
    </xf>
    <xf numFmtId="182" fontId="7" fillId="4" borderId="45" xfId="9" applyNumberFormat="1" applyFont="1" applyFill="1" applyBorder="1" applyAlignment="1">
      <alignment vertical="center"/>
    </xf>
    <xf numFmtId="182" fontId="7" fillId="4" borderId="46" xfId="13" applyNumberFormat="1" applyFill="1" applyBorder="1" applyAlignment="1">
      <alignment vertical="center"/>
    </xf>
    <xf numFmtId="0" fontId="22" fillId="0" borderId="171" xfId="13" applyFont="1" applyBorder="1" applyAlignment="1">
      <alignment horizontal="center" vertical="center" wrapText="1"/>
    </xf>
    <xf numFmtId="0" fontId="22" fillId="0" borderId="167" xfId="13" applyFont="1" applyBorder="1" applyAlignment="1">
      <alignment horizontal="center" vertical="center" wrapText="1"/>
    </xf>
    <xf numFmtId="0" fontId="22" fillId="0" borderId="166" xfId="13" applyFont="1" applyBorder="1" applyAlignment="1">
      <alignment horizontal="center" vertical="center" wrapText="1"/>
    </xf>
    <xf numFmtId="0" fontId="23" fillId="0" borderId="19" xfId="13" applyFont="1" applyBorder="1" applyAlignment="1">
      <alignment horizontal="center" vertical="center" wrapText="1"/>
    </xf>
    <xf numFmtId="0" fontId="23" fillId="0" borderId="20" xfId="13" applyFont="1" applyBorder="1" applyAlignment="1">
      <alignment horizontal="center" vertical="center" wrapText="1"/>
    </xf>
    <xf numFmtId="0" fontId="23" fillId="0" borderId="21" xfId="13" applyFont="1" applyBorder="1" applyAlignment="1">
      <alignment horizontal="center" vertical="center" wrapText="1"/>
    </xf>
    <xf numFmtId="0" fontId="12" fillId="0" borderId="0" xfId="13" applyFont="1" applyAlignment="1">
      <alignment horizontal="left" wrapText="1"/>
    </xf>
    <xf numFmtId="6" fontId="12" fillId="0" borderId="61" xfId="12" applyFont="1" applyBorder="1" applyAlignment="1">
      <alignment horizontal="center" vertical="center" wrapText="1"/>
    </xf>
    <xf numFmtId="6" fontId="12" fillId="0" borderId="12" xfId="12" applyFont="1" applyBorder="1" applyAlignment="1">
      <alignment horizontal="center" vertical="center" wrapText="1"/>
    </xf>
    <xf numFmtId="6" fontId="12" fillId="0" borderId="172" xfId="12" applyFont="1" applyBorder="1" applyAlignment="1">
      <alignment horizontal="center" vertical="center" wrapText="1"/>
    </xf>
    <xf numFmtId="6" fontId="12" fillId="0" borderId="0" xfId="12" applyFont="1" applyBorder="1" applyAlignment="1">
      <alignment horizontal="center" vertical="center" wrapText="1"/>
    </xf>
    <xf numFmtId="0" fontId="12" fillId="0" borderId="108" xfId="13" applyFont="1" applyBorder="1" applyAlignment="1">
      <alignment horizontal="center" wrapText="1"/>
    </xf>
    <xf numFmtId="0" fontId="12" fillId="0" borderId="16" xfId="13" applyFont="1" applyBorder="1" applyAlignment="1">
      <alignment horizontal="center" wrapText="1"/>
    </xf>
    <xf numFmtId="0" fontId="12" fillId="0" borderId="17" xfId="13" applyFont="1" applyBorder="1" applyAlignment="1">
      <alignment horizontal="center" wrapText="1"/>
    </xf>
    <xf numFmtId="0" fontId="12" fillId="0" borderId="146" xfId="13" applyFont="1" applyBorder="1" applyAlignment="1">
      <alignment horizontal="center" wrapText="1"/>
    </xf>
    <xf numFmtId="0" fontId="14" fillId="0" borderId="168" xfId="13" applyFont="1" applyBorder="1" applyAlignment="1">
      <alignment horizontal="center" vertical="center"/>
    </xf>
    <xf numFmtId="0" fontId="14" fillId="0" borderId="169" xfId="13" applyFont="1" applyBorder="1" applyAlignment="1">
      <alignment horizontal="center" vertical="center"/>
    </xf>
    <xf numFmtId="0" fontId="14" fillId="0" borderId="170" xfId="13" applyFont="1" applyBorder="1" applyAlignment="1">
      <alignment horizontal="center" vertical="center"/>
    </xf>
    <xf numFmtId="0" fontId="20" fillId="0" borderId="106" xfId="13" applyFont="1" applyBorder="1" applyAlignment="1">
      <alignment horizontal="center" vertical="center" wrapText="1"/>
    </xf>
    <xf numFmtId="0" fontId="20" fillId="0" borderId="2" xfId="13" applyFont="1" applyBorder="1" applyAlignment="1">
      <alignment horizontal="center" vertical="center" wrapText="1"/>
    </xf>
    <xf numFmtId="0" fontId="20" fillId="0" borderId="6" xfId="13" applyFont="1" applyBorder="1" applyAlignment="1">
      <alignment horizontal="center" vertical="center" wrapText="1"/>
    </xf>
    <xf numFmtId="182" fontId="7" fillId="4" borderId="165" xfId="9" applyNumberFormat="1" applyFont="1" applyFill="1" applyBorder="1" applyAlignment="1">
      <alignment vertical="center"/>
    </xf>
    <xf numFmtId="182" fontId="7" fillId="4" borderId="166" xfId="13" applyNumberFormat="1" applyFill="1" applyBorder="1" applyAlignment="1">
      <alignment vertical="center"/>
    </xf>
    <xf numFmtId="0" fontId="7" fillId="0" borderId="165" xfId="13" applyBorder="1" applyAlignment="1">
      <alignment vertical="center"/>
    </xf>
    <xf numFmtId="0" fontId="7" fillId="0" borderId="167" xfId="13" applyBorder="1" applyAlignment="1">
      <alignment vertical="center"/>
    </xf>
    <xf numFmtId="0" fontId="7" fillId="0" borderId="166" xfId="13" applyBorder="1" applyAlignment="1">
      <alignment vertical="center"/>
    </xf>
    <xf numFmtId="0" fontId="16" fillId="0" borderId="120" xfId="13" applyFont="1" applyBorder="1" applyAlignment="1">
      <alignment horizontal="center" vertical="center" textRotation="255"/>
    </xf>
    <xf numFmtId="0" fontId="16" fillId="0" borderId="158" xfId="13" applyFont="1" applyBorder="1" applyAlignment="1">
      <alignment horizontal="center" vertical="center" textRotation="255"/>
    </xf>
    <xf numFmtId="0" fontId="12" fillId="4" borderId="41" xfId="13" applyFont="1" applyFill="1" applyBorder="1" applyAlignment="1">
      <alignment vertical="center" shrinkToFit="1"/>
    </xf>
    <xf numFmtId="0" fontId="12" fillId="4" borderId="34" xfId="13" applyFont="1" applyFill="1" applyBorder="1" applyAlignment="1">
      <alignment vertical="center" shrinkToFit="1"/>
    </xf>
    <xf numFmtId="177" fontId="11" fillId="5" borderId="19" xfId="13" applyNumberFormat="1" applyFont="1" applyFill="1" applyBorder="1" applyAlignment="1">
      <alignment horizontal="center" vertical="center"/>
    </xf>
    <xf numFmtId="0" fontId="11" fillId="5" borderId="20" xfId="13" applyFont="1" applyFill="1" applyBorder="1" applyAlignment="1">
      <alignment horizontal="center" vertical="center"/>
    </xf>
    <xf numFmtId="0" fontId="12" fillId="0" borderId="3" xfId="13" applyFont="1" applyBorder="1" applyAlignment="1">
      <alignment horizontal="center" vertical="center"/>
    </xf>
    <xf numFmtId="0" fontId="14" fillId="0" borderId="159" xfId="13" applyFont="1" applyBorder="1" applyAlignment="1">
      <alignment horizontal="center" vertical="center" wrapText="1"/>
    </xf>
    <xf numFmtId="0" fontId="7" fillId="0" borderId="3" xfId="13" applyBorder="1" applyAlignment="1">
      <alignment horizontal="center" vertical="center"/>
    </xf>
    <xf numFmtId="0" fontId="12" fillId="0" borderId="40" xfId="13" applyFont="1" applyBorder="1" applyAlignment="1">
      <alignment horizontal="center" vertical="center" wrapText="1"/>
    </xf>
    <xf numFmtId="0" fontId="7" fillId="0" borderId="40" xfId="13" applyBorder="1" applyAlignment="1">
      <alignment horizontal="center" vertical="center"/>
    </xf>
    <xf numFmtId="0" fontId="12" fillId="0" borderId="160" xfId="13" applyFont="1" applyBorder="1" applyAlignment="1">
      <alignment horizontal="center" vertical="center" wrapText="1"/>
    </xf>
    <xf numFmtId="0" fontId="12" fillId="0" borderId="159" xfId="13" applyFont="1" applyBorder="1" applyAlignment="1">
      <alignment horizontal="center" vertical="center"/>
    </xf>
    <xf numFmtId="0" fontId="14" fillId="0" borderId="152" xfId="13" applyFont="1" applyBorder="1" applyAlignment="1">
      <alignment horizontal="center" vertical="center" wrapText="1"/>
    </xf>
    <xf numFmtId="0" fontId="14" fillId="0" borderId="159" xfId="13" applyFont="1" applyBorder="1" applyAlignment="1">
      <alignment horizontal="center" vertical="center"/>
    </xf>
    <xf numFmtId="0" fontId="7" fillId="0" borderId="32" xfId="13" applyBorder="1" applyAlignment="1">
      <alignment horizontal="center" vertical="center"/>
    </xf>
    <xf numFmtId="0" fontId="7" fillId="0" borderId="33" xfId="13" applyBorder="1" applyAlignment="1">
      <alignment horizontal="center" vertical="center"/>
    </xf>
    <xf numFmtId="176" fontId="10" fillId="0" borderId="147" xfId="13" applyNumberFormat="1" applyFont="1" applyBorder="1" applyAlignment="1">
      <alignment horizontal="center" vertical="center"/>
    </xf>
    <xf numFmtId="176" fontId="10" fillId="0" borderId="121" xfId="13" applyNumberFormat="1" applyFont="1" applyBorder="1" applyAlignment="1">
      <alignment horizontal="center" vertical="center"/>
    </xf>
    <xf numFmtId="176" fontId="10" fillId="0" borderId="124" xfId="13" applyNumberFormat="1" applyFont="1" applyBorder="1" applyAlignment="1">
      <alignment horizontal="center" vertical="center"/>
    </xf>
    <xf numFmtId="0" fontId="7" fillId="0" borderId="125" xfId="13" applyBorder="1" applyAlignment="1">
      <alignment horizontal="center" vertical="center" wrapText="1"/>
    </xf>
    <xf numFmtId="0" fontId="7" fillId="0" borderId="128" xfId="13" applyBorder="1" applyAlignment="1">
      <alignment horizontal="center" vertical="center" wrapText="1"/>
    </xf>
    <xf numFmtId="0" fontId="12" fillId="4" borderId="40" xfId="13" applyFont="1" applyFill="1" applyBorder="1" applyAlignment="1">
      <alignment vertical="center" shrinkToFit="1"/>
    </xf>
    <xf numFmtId="0" fontId="7" fillId="0" borderId="30" xfId="13" applyBorder="1" applyAlignment="1">
      <alignment horizontal="center" vertical="center"/>
    </xf>
    <xf numFmtId="0" fontId="7" fillId="0" borderId="31" xfId="13" applyBorder="1" applyAlignment="1">
      <alignment horizontal="center" vertical="center"/>
    </xf>
    <xf numFmtId="0" fontId="9" fillId="0" borderId="151" xfId="13" applyFont="1" applyBorder="1" applyAlignment="1">
      <alignment horizontal="center" vertical="center" textRotation="255"/>
    </xf>
    <xf numFmtId="0" fontId="9" fillId="0" borderId="152" xfId="13" applyFont="1" applyBorder="1" applyAlignment="1">
      <alignment horizontal="center" vertical="center" textRotation="255"/>
    </xf>
    <xf numFmtId="0" fontId="7" fillId="0" borderId="49" xfId="13" applyBorder="1" applyAlignment="1">
      <alignment horizontal="center" vertical="center"/>
    </xf>
    <xf numFmtId="0" fontId="7" fillId="0" borderId="50" xfId="13" applyBorder="1" applyAlignment="1">
      <alignment horizontal="center" vertical="center"/>
    </xf>
    <xf numFmtId="0" fontId="7" fillId="0" borderId="122" xfId="13" applyBorder="1" applyAlignment="1">
      <alignment horizontal="center" vertical="center"/>
    </xf>
    <xf numFmtId="0" fontId="7" fillId="0" borderId="153" xfId="13" applyBorder="1" applyAlignment="1">
      <alignment horizontal="center" vertical="center" wrapText="1"/>
    </xf>
    <xf numFmtId="0" fontId="7" fillId="0" borderId="154" xfId="13" applyBorder="1" applyAlignment="1">
      <alignment horizontal="center" vertical="center"/>
    </xf>
    <xf numFmtId="0" fontId="7" fillId="3" borderId="41" xfId="13" applyFill="1" applyBorder="1" applyAlignment="1">
      <alignment vertical="center" shrinkToFit="1"/>
    </xf>
    <xf numFmtId="0" fontId="7" fillId="3" borderId="34" xfId="13" applyFill="1" applyBorder="1" applyAlignment="1">
      <alignment vertical="center" shrinkToFit="1"/>
    </xf>
    <xf numFmtId="0" fontId="7" fillId="3" borderId="148" xfId="13" applyFill="1" applyBorder="1" applyAlignment="1">
      <alignment vertical="center" shrinkToFit="1"/>
    </xf>
    <xf numFmtId="0" fontId="12" fillId="4" borderId="108" xfId="13" applyFont="1" applyFill="1" applyBorder="1" applyAlignment="1">
      <alignment vertical="center" shrinkToFit="1"/>
    </xf>
    <xf numFmtId="0" fontId="12" fillId="4" borderId="16" xfId="13" applyFont="1" applyFill="1" applyBorder="1" applyAlignment="1">
      <alignment vertical="center" shrinkToFit="1"/>
    </xf>
    <xf numFmtId="0" fontId="7" fillId="3" borderId="5" xfId="13" applyFill="1" applyBorder="1" applyAlignment="1">
      <alignment vertical="center" wrapText="1" shrinkToFit="1"/>
    </xf>
    <xf numFmtId="0" fontId="7" fillId="3" borderId="2" xfId="13" applyFill="1" applyBorder="1" applyAlignment="1">
      <alignment vertical="center" shrinkToFit="1"/>
    </xf>
    <xf numFmtId="0" fontId="7" fillId="3" borderId="115" xfId="13" applyFill="1" applyBorder="1" applyAlignment="1">
      <alignment vertical="center" shrinkToFit="1"/>
    </xf>
    <xf numFmtId="0" fontId="7" fillId="0" borderId="150" xfId="13" applyBorder="1" applyAlignment="1">
      <alignment vertical="center"/>
    </xf>
    <xf numFmtId="0" fontId="7" fillId="0" borderId="21" xfId="13" applyBorder="1" applyAlignment="1">
      <alignment vertical="center"/>
    </xf>
    <xf numFmtId="0" fontId="7" fillId="0" borderId="131" xfId="13" applyBorder="1" applyAlignment="1">
      <alignment vertical="center"/>
    </xf>
    <xf numFmtId="0" fontId="7" fillId="0" borderId="154" xfId="13" applyBorder="1" applyAlignment="1">
      <alignment horizontal="center" vertical="center" wrapText="1"/>
    </xf>
    <xf numFmtId="0" fontId="8" fillId="0" borderId="24" xfId="13" applyFont="1" applyBorder="1" applyAlignment="1">
      <alignment horizontal="left" vertical="center" wrapText="1"/>
    </xf>
    <xf numFmtId="0" fontId="8" fillId="0" borderId="155" xfId="13" applyFont="1" applyBorder="1" applyAlignment="1">
      <alignment horizontal="left" vertical="center" wrapText="1"/>
    </xf>
    <xf numFmtId="0" fontId="8" fillId="0" borderId="7" xfId="13" applyFont="1" applyBorder="1" applyAlignment="1">
      <alignment horizontal="left" vertical="center" wrapText="1"/>
    </xf>
    <xf numFmtId="0" fontId="8" fillId="0" borderId="8" xfId="13" applyFont="1" applyBorder="1" applyAlignment="1">
      <alignment horizontal="left" vertical="center" wrapText="1"/>
    </xf>
    <xf numFmtId="0" fontId="9" fillId="0" borderId="151" xfId="13" applyFont="1" applyBorder="1" applyAlignment="1">
      <alignment horizontal="center" vertical="center" wrapText="1"/>
    </xf>
    <xf numFmtId="0" fontId="9" fillId="0" borderId="152" xfId="13" applyFont="1" applyBorder="1" applyAlignment="1">
      <alignment horizontal="center" vertical="center" wrapText="1"/>
    </xf>
    <xf numFmtId="0" fontId="7" fillId="0" borderId="156" xfId="13" applyBorder="1" applyAlignment="1">
      <alignment horizontal="center" vertical="center" wrapText="1"/>
    </xf>
    <xf numFmtId="0" fontId="7" fillId="0" borderId="157" xfId="13" applyBorder="1" applyAlignment="1">
      <alignment horizontal="center" vertical="center"/>
    </xf>
    <xf numFmtId="0" fontId="8" fillId="0" borderId="0" xfId="13" applyFont="1" applyAlignment="1">
      <alignment horizontal="center" vertical="top" textRotation="255"/>
    </xf>
    <xf numFmtId="0" fontId="10" fillId="0" borderId="5" xfId="13" applyFont="1" applyBorder="1" applyAlignment="1">
      <alignment horizontal="center" vertical="center"/>
    </xf>
    <xf numFmtId="0" fontId="10" fillId="0" borderId="2" xfId="13" applyFont="1" applyBorder="1" applyAlignment="1">
      <alignment horizontal="center" vertical="center"/>
    </xf>
    <xf numFmtId="0" fontId="10" fillId="0" borderId="6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10" fillId="0" borderId="10" xfId="13" applyFont="1" applyBorder="1" applyAlignment="1">
      <alignment horizontal="center" vertical="center"/>
    </xf>
    <xf numFmtId="0" fontId="10" fillId="0" borderId="11" xfId="13" applyFont="1" applyBorder="1" applyAlignment="1">
      <alignment horizontal="center" vertical="center"/>
    </xf>
    <xf numFmtId="31" fontId="7" fillId="3" borderId="0" xfId="13" applyNumberFormat="1" applyFill="1" applyAlignment="1">
      <alignment vertical="center" shrinkToFit="1"/>
    </xf>
    <xf numFmtId="31" fontId="7" fillId="3" borderId="102" xfId="13" applyNumberFormat="1" applyFill="1" applyBorder="1" applyAlignment="1">
      <alignment horizontal="distributed"/>
    </xf>
    <xf numFmtId="0" fontId="7" fillId="3" borderId="108" xfId="13" applyFill="1" applyBorder="1" applyAlignment="1">
      <alignment vertical="center" shrinkToFit="1"/>
    </xf>
    <xf numFmtId="0" fontId="7" fillId="3" borderId="16" xfId="13" applyFill="1" applyBorder="1" applyAlignment="1">
      <alignment vertical="center" shrinkToFit="1"/>
    </xf>
    <xf numFmtId="0" fontId="7" fillId="3" borderId="146" xfId="13" applyFill="1" applyBorder="1" applyAlignment="1">
      <alignment vertical="center" shrinkToFit="1"/>
    </xf>
    <xf numFmtId="0" fontId="7" fillId="0" borderId="147" xfId="13" applyBorder="1" applyAlignment="1">
      <alignment vertical="center"/>
    </xf>
    <xf numFmtId="0" fontId="7" fillId="0" borderId="17" xfId="13" applyBorder="1" applyAlignment="1">
      <alignment vertical="center"/>
    </xf>
    <xf numFmtId="0" fontId="7" fillId="0" borderId="121" xfId="13" applyBorder="1" applyAlignment="1">
      <alignment vertical="center"/>
    </xf>
    <xf numFmtId="0" fontId="7" fillId="0" borderId="149" xfId="13" applyBorder="1" applyAlignment="1">
      <alignment vertical="center"/>
    </xf>
    <xf numFmtId="0" fontId="7" fillId="0" borderId="3" xfId="13" applyBorder="1" applyAlignment="1">
      <alignment vertical="center"/>
    </xf>
    <xf numFmtId="0" fontId="14" fillId="3" borderId="41" xfId="13" applyFont="1" applyFill="1" applyBorder="1" applyAlignment="1">
      <alignment vertical="center" wrapText="1" shrinkToFit="1"/>
    </xf>
    <xf numFmtId="0" fontId="14" fillId="3" borderId="34" xfId="13" applyFont="1" applyFill="1" applyBorder="1" applyAlignment="1">
      <alignment vertical="center" shrinkToFit="1"/>
    </xf>
    <xf numFmtId="0" fontId="14" fillId="3" borderId="148" xfId="13" applyFont="1" applyFill="1" applyBorder="1" applyAlignment="1">
      <alignment vertical="center" shrinkToFit="1"/>
    </xf>
    <xf numFmtId="0" fontId="12" fillId="0" borderId="149" xfId="13" applyFont="1" applyBorder="1" applyAlignment="1">
      <alignment vertical="center"/>
    </xf>
    <xf numFmtId="0" fontId="12" fillId="0" borderId="40" xfId="13" applyFont="1" applyBorder="1" applyAlignment="1">
      <alignment vertical="center"/>
    </xf>
    <xf numFmtId="0" fontId="12" fillId="0" borderId="3" xfId="13" applyFont="1" applyBorder="1" applyAlignment="1">
      <alignment vertical="center"/>
    </xf>
    <xf numFmtId="0" fontId="42" fillId="0" borderId="0" xfId="14" applyFont="1" applyAlignment="1">
      <alignment horizontal="center"/>
    </xf>
    <xf numFmtId="0" fontId="43" fillId="0" borderId="10" xfId="14" applyFont="1" applyBorder="1" applyAlignment="1">
      <alignment horizontal="center"/>
    </xf>
    <xf numFmtId="0" fontId="45" fillId="2" borderId="10" xfId="14" applyFont="1" applyFill="1" applyBorder="1" applyAlignment="1">
      <alignment horizontal="left" wrapText="1" shrinkToFit="1"/>
    </xf>
    <xf numFmtId="0" fontId="47" fillId="2" borderId="34" xfId="14" applyFont="1" applyFill="1" applyBorder="1" applyAlignment="1">
      <alignment horizontal="left"/>
    </xf>
    <xf numFmtId="0" fontId="50" fillId="0" borderId="194" xfId="14" applyFont="1" applyBorder="1" applyAlignment="1">
      <alignment horizontal="center" vertical="center"/>
    </xf>
    <xf numFmtId="0" fontId="50" fillId="0" borderId="198" xfId="14" applyFont="1" applyBorder="1" applyAlignment="1">
      <alignment horizontal="center" vertical="center"/>
    </xf>
    <xf numFmtId="0" fontId="51" fillId="0" borderId="24" xfId="14" applyFont="1" applyBorder="1" applyAlignment="1">
      <alignment horizontal="center" vertical="center"/>
    </xf>
    <xf numFmtId="0" fontId="51" fillId="0" borderId="155" xfId="14" applyFont="1" applyBorder="1" applyAlignment="1">
      <alignment horizontal="center" vertical="center"/>
    </xf>
    <xf numFmtId="0" fontId="51" fillId="0" borderId="7" xfId="14" applyFont="1" applyBorder="1" applyAlignment="1">
      <alignment horizontal="center" vertical="center"/>
    </xf>
    <xf numFmtId="0" fontId="51" fillId="0" borderId="8" xfId="14" applyFont="1" applyBorder="1" applyAlignment="1">
      <alignment horizontal="center" vertical="center"/>
    </xf>
    <xf numFmtId="0" fontId="44" fillId="0" borderId="108" xfId="14" applyFont="1" applyBorder="1" applyAlignment="1">
      <alignment horizontal="center" vertical="center"/>
    </xf>
    <xf numFmtId="0" fontId="44" fillId="0" borderId="195" xfId="14" applyFont="1" applyBorder="1" applyAlignment="1">
      <alignment horizontal="center" vertical="center"/>
    </xf>
    <xf numFmtId="0" fontId="51" fillId="0" borderId="196" xfId="14" applyFont="1" applyBorder="1" applyAlignment="1">
      <alignment horizontal="center" vertical="center"/>
    </xf>
    <xf numFmtId="0" fontId="51" fillId="0" borderId="199" xfId="14" applyFont="1" applyBorder="1" applyAlignment="1">
      <alignment horizontal="center" vertical="center"/>
    </xf>
    <xf numFmtId="192" fontId="51" fillId="0" borderId="197" xfId="14" applyNumberFormat="1" applyFont="1" applyBorder="1" applyAlignment="1">
      <alignment horizontal="center" vertical="center"/>
    </xf>
    <xf numFmtId="192" fontId="51" fillId="0" borderId="200" xfId="14" applyNumberFormat="1" applyFont="1" applyBorder="1" applyAlignment="1">
      <alignment horizontal="center" vertical="center"/>
    </xf>
    <xf numFmtId="197" fontId="46" fillId="0" borderId="202" xfId="14" applyNumberFormat="1" applyFont="1" applyBorder="1" applyAlignment="1">
      <alignment horizontal="center" vertical="center" shrinkToFit="1"/>
    </xf>
    <xf numFmtId="197" fontId="46" fillId="0" borderId="198" xfId="14" applyNumberFormat="1" applyFont="1" applyBorder="1" applyAlignment="1">
      <alignment horizontal="center" vertical="center" shrinkToFit="1"/>
    </xf>
    <xf numFmtId="198" fontId="52" fillId="0" borderId="5" xfId="14" applyNumberFormat="1" applyFont="1" applyBorder="1" applyAlignment="1">
      <alignment horizontal="center" vertical="center"/>
    </xf>
    <xf numFmtId="198" fontId="52" fillId="0" borderId="6" xfId="14" applyNumberFormat="1" applyFont="1" applyBorder="1" applyAlignment="1">
      <alignment horizontal="center" vertical="center"/>
    </xf>
    <xf numFmtId="199" fontId="12" fillId="0" borderId="9" xfId="14" applyNumberFormat="1" applyFont="1" applyBorder="1" applyAlignment="1">
      <alignment horizontal="center" vertical="center"/>
    </xf>
    <xf numFmtId="199" fontId="12" fillId="0" borderId="11" xfId="14" applyNumberFormat="1" applyFont="1" applyBorder="1" applyAlignment="1">
      <alignment horizontal="center" vertical="center"/>
    </xf>
    <xf numFmtId="197" fontId="46" fillId="0" borderId="106" xfId="14" applyNumberFormat="1" applyFont="1" applyBorder="1" applyAlignment="1">
      <alignment horizontal="center" vertical="center" shrinkToFit="1"/>
    </xf>
    <xf numFmtId="197" fontId="46" fillId="0" borderId="18" xfId="14" applyNumberFormat="1" applyFont="1" applyBorder="1" applyAlignment="1">
      <alignment horizontal="center" vertical="center" shrinkToFit="1"/>
    </xf>
    <xf numFmtId="0" fontId="51" fillId="0" borderId="19" xfId="14" applyFont="1" applyBorder="1" applyAlignment="1">
      <alignment horizontal="center" vertical="center"/>
    </xf>
    <xf numFmtId="0" fontId="51" fillId="0" borderId="20" xfId="14" applyFont="1" applyBorder="1" applyAlignment="1">
      <alignment horizontal="center" vertical="center"/>
    </xf>
    <xf numFmtId="0" fontId="51" fillId="0" borderId="204" xfId="14" applyFont="1" applyBorder="1" applyAlignment="1">
      <alignment horizontal="center" vertical="center"/>
    </xf>
    <xf numFmtId="0" fontId="55" fillId="0" borderId="194" xfId="14" applyFont="1" applyBorder="1" applyAlignment="1">
      <alignment horizontal="center" vertical="center"/>
    </xf>
    <xf numFmtId="0" fontId="55" fillId="0" borderId="198" xfId="14" applyFont="1" applyBorder="1" applyAlignment="1">
      <alignment horizontal="center" vertical="center"/>
    </xf>
    <xf numFmtId="0" fontId="55" fillId="0" borderId="151" xfId="14" applyFont="1" applyBorder="1" applyAlignment="1">
      <alignment horizontal="center" vertical="center"/>
    </xf>
    <xf numFmtId="0" fontId="55" fillId="0" borderId="159" xfId="14" applyFont="1" applyBorder="1" applyAlignment="1">
      <alignment horizontal="center" vertical="center"/>
    </xf>
    <xf numFmtId="0" fontId="55" fillId="0" borderId="205" xfId="14" applyFont="1" applyBorder="1" applyAlignment="1">
      <alignment horizontal="center" vertical="center"/>
    </xf>
    <xf numFmtId="0" fontId="55" fillId="0" borderId="158" xfId="14" applyFont="1" applyBorder="1" applyAlignment="1">
      <alignment horizontal="center" vertical="center"/>
    </xf>
    <xf numFmtId="0" fontId="54" fillId="0" borderId="202" xfId="14" applyFont="1" applyBorder="1" applyAlignment="1">
      <alignment horizontal="center"/>
    </xf>
    <xf numFmtId="0" fontId="54" fillId="0" borderId="206" xfId="14" applyFont="1" applyBorder="1" applyAlignment="1">
      <alignment horizontal="center"/>
    </xf>
    <xf numFmtId="0" fontId="54" fillId="0" borderId="207" xfId="14" applyFont="1" applyBorder="1" applyAlignment="1">
      <alignment horizontal="center"/>
    </xf>
    <xf numFmtId="0" fontId="54" fillId="0" borderId="160" xfId="14" applyFont="1" applyBorder="1" applyAlignment="1">
      <alignment horizontal="center"/>
    </xf>
    <xf numFmtId="0" fontId="54" fillId="0" borderId="152" xfId="14" applyFont="1" applyBorder="1" applyAlignment="1">
      <alignment horizontal="center"/>
    </xf>
    <xf numFmtId="0" fontId="54" fillId="0" borderId="208" xfId="14" applyFont="1" applyBorder="1" applyAlignment="1">
      <alignment horizontal="center"/>
    </xf>
    <xf numFmtId="0" fontId="54" fillId="0" borderId="120" xfId="14" applyFont="1" applyBorder="1" applyAlignment="1">
      <alignment horizontal="center"/>
    </xf>
    <xf numFmtId="0" fontId="54" fillId="0" borderId="4" xfId="14" applyFont="1" applyBorder="1" applyAlignment="1">
      <alignment horizontal="center"/>
    </xf>
    <xf numFmtId="0" fontId="54" fillId="0" borderId="135" xfId="14" applyFont="1" applyBorder="1" applyAlignment="1">
      <alignment horizontal="center"/>
    </xf>
    <xf numFmtId="0" fontId="41" fillId="10" borderId="3" xfId="0" applyFont="1" applyFill="1" applyBorder="1" applyAlignment="1">
      <alignment horizontal="center" vertical="center"/>
    </xf>
    <xf numFmtId="0" fontId="41" fillId="9" borderId="41" xfId="0" applyFont="1" applyFill="1" applyBorder="1">
      <alignment vertical="center"/>
    </xf>
    <xf numFmtId="0" fontId="41" fillId="9" borderId="40" xfId="0" applyFont="1" applyFill="1" applyBorder="1">
      <alignment vertical="center"/>
    </xf>
    <xf numFmtId="14" fontId="41" fillId="0" borderId="41" xfId="0" applyNumberFormat="1" applyFont="1" applyBorder="1" applyAlignment="1">
      <alignment horizontal="center" vertical="center"/>
    </xf>
    <xf numFmtId="14" fontId="41" fillId="0" borderId="40" xfId="0" applyNumberFormat="1" applyFont="1" applyBorder="1" applyAlignment="1">
      <alignment horizontal="center" vertical="center"/>
    </xf>
    <xf numFmtId="0" fontId="41" fillId="9" borderId="129" xfId="0" applyFont="1" applyFill="1" applyBorder="1">
      <alignment vertical="center"/>
    </xf>
    <xf numFmtId="0" fontId="41" fillId="9" borderId="130" xfId="0" applyFont="1" applyFill="1" applyBorder="1">
      <alignment vertical="center"/>
    </xf>
    <xf numFmtId="0" fontId="41" fillId="16" borderId="41" xfId="0" applyFont="1" applyFill="1" applyBorder="1" applyAlignment="1">
      <alignment horizontal="center" vertical="center"/>
    </xf>
    <xf numFmtId="0" fontId="41" fillId="16" borderId="34" xfId="0" applyFont="1" applyFill="1" applyBorder="1" applyAlignment="1">
      <alignment horizontal="center" vertical="center"/>
    </xf>
    <xf numFmtId="0" fontId="41" fillId="16" borderId="40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/>
    </xf>
    <xf numFmtId="0" fontId="41" fillId="7" borderId="40" xfId="0" applyFont="1" applyFill="1" applyBorder="1" applyAlignment="1">
      <alignment horizontal="center" vertical="center"/>
    </xf>
    <xf numFmtId="193" fontId="33" fillId="2" borderId="0" xfId="0" applyNumberFormat="1" applyFont="1" applyFill="1" applyAlignment="1">
      <alignment horizontal="right" vertical="center"/>
    </xf>
    <xf numFmtId="0" fontId="3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6" fillId="2" borderId="128" xfId="0" applyFont="1" applyFill="1" applyBorder="1" applyAlignment="1">
      <alignment vertical="center" textRotation="255" shrinkToFit="1"/>
    </xf>
    <xf numFmtId="0" fontId="6" fillId="0" borderId="182" xfId="0" applyFont="1" applyBorder="1" applyAlignment="1">
      <alignment vertical="center" textRotation="255" shrinkToFit="1"/>
    </xf>
    <xf numFmtId="0" fontId="3" fillId="2" borderId="106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40" fillId="2" borderId="41" xfId="0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center" vertical="center" shrinkToFit="1"/>
    </xf>
    <xf numFmtId="0" fontId="40" fillId="0" borderId="40" xfId="0" applyFont="1" applyBorder="1" applyAlignment="1">
      <alignment horizontal="center" vertical="center" shrinkToFit="1"/>
    </xf>
    <xf numFmtId="0" fontId="3" fillId="2" borderId="178" xfId="0" applyFont="1" applyFill="1" applyBorder="1" applyAlignment="1">
      <alignment horizontal="left" vertical="center" shrinkToFit="1"/>
    </xf>
    <xf numFmtId="0" fontId="3" fillId="0" borderId="179" xfId="0" applyFont="1" applyBorder="1" applyAlignment="1">
      <alignment horizontal="left" vertical="center" shrinkToFit="1"/>
    </xf>
    <xf numFmtId="0" fontId="3" fillId="0" borderId="180" xfId="0" applyFont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92" xfId="0" applyFont="1" applyFill="1" applyBorder="1" applyAlignment="1">
      <alignment horizontal="left" vertical="center"/>
    </xf>
    <xf numFmtId="0" fontId="3" fillId="2" borderId="193" xfId="0" applyFont="1" applyFill="1" applyBorder="1" applyAlignment="1">
      <alignment horizontal="left" vertical="center"/>
    </xf>
    <xf numFmtId="0" fontId="6" fillId="2" borderId="181" xfId="0" applyFont="1" applyFill="1" applyBorder="1" applyAlignment="1">
      <alignment vertical="center" textRotation="255" shrinkToFit="1"/>
    </xf>
    <xf numFmtId="0" fontId="3" fillId="2" borderId="172" xfId="0" quotePrefix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2" borderId="7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78" xfId="0" applyFont="1" applyFill="1" applyBorder="1" applyAlignment="1">
      <alignment vertical="center" shrinkToFit="1"/>
    </xf>
    <xf numFmtId="0" fontId="3" fillId="0" borderId="179" xfId="0" applyFont="1" applyBorder="1" applyAlignment="1">
      <alignment vertical="center" shrinkToFit="1"/>
    </xf>
    <xf numFmtId="0" fontId="3" fillId="0" borderId="180" xfId="0" applyFont="1" applyBorder="1" applyAlignment="1">
      <alignment vertic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5" fillId="2" borderId="20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34" xfId="0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0" borderId="34" xfId="0" applyFont="1" applyBorder="1">
      <alignment vertical="center"/>
    </xf>
    <xf numFmtId="0" fontId="3" fillId="0" borderId="40" xfId="0" applyFont="1" applyBorder="1">
      <alignment vertical="center"/>
    </xf>
    <xf numFmtId="0" fontId="34" fillId="2" borderId="41" xfId="0" applyFont="1" applyFill="1" applyBorder="1" applyAlignment="1">
      <alignment vertical="center" wrapText="1" shrinkToFit="1"/>
    </xf>
    <xf numFmtId="0" fontId="34" fillId="0" borderId="34" xfId="0" applyFont="1" applyBorder="1" applyAlignment="1">
      <alignment vertical="center" wrapText="1" shrinkToFit="1"/>
    </xf>
    <xf numFmtId="0" fontId="34" fillId="0" borderId="40" xfId="0" applyFont="1" applyBorder="1" applyAlignment="1">
      <alignment vertical="center" wrapText="1" shrinkToFit="1"/>
    </xf>
    <xf numFmtId="0" fontId="5" fillId="2" borderId="24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5" fillId="2" borderId="173" xfId="0" applyFont="1" applyFill="1" applyBorder="1" applyAlignment="1">
      <alignment vertical="center" shrinkToFit="1"/>
    </xf>
    <xf numFmtId="0" fontId="5" fillId="0" borderId="139" xfId="0" applyFont="1" applyBorder="1" applyAlignment="1">
      <alignment vertical="center" shrinkToFit="1"/>
    </xf>
    <xf numFmtId="0" fontId="5" fillId="2" borderId="61" xfId="0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shrinkToFit="1"/>
    </xf>
    <xf numFmtId="0" fontId="5" fillId="2" borderId="155" xfId="0" applyFont="1" applyFill="1" applyBorder="1" applyAlignment="1">
      <alignment horizontal="center" vertical="center" shrinkToFit="1"/>
    </xf>
    <xf numFmtId="0" fontId="5" fillId="2" borderId="174" xfId="0" applyFont="1" applyFill="1" applyBorder="1" applyAlignment="1">
      <alignment horizontal="center" vertical="center" shrinkToFit="1"/>
    </xf>
    <xf numFmtId="0" fontId="5" fillId="2" borderId="175" xfId="0" applyFont="1" applyFill="1" applyBorder="1" applyAlignment="1">
      <alignment horizontal="center" vertical="center" shrinkToFit="1"/>
    </xf>
    <xf numFmtId="0" fontId="5" fillId="2" borderId="176" xfId="0" applyFont="1" applyFill="1" applyBorder="1" applyAlignment="1">
      <alignment horizontal="center" vertical="center" shrinkToFit="1"/>
    </xf>
    <xf numFmtId="0" fontId="5" fillId="0" borderId="155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74" xfId="0" applyFont="1" applyBorder="1" applyAlignment="1">
      <alignment horizontal="center" vertical="center" shrinkToFit="1"/>
    </xf>
    <xf numFmtId="0" fontId="5" fillId="0" borderId="175" xfId="0" applyFont="1" applyBorder="1" applyAlignment="1">
      <alignment horizontal="center" vertical="center" shrinkToFit="1"/>
    </xf>
    <xf numFmtId="0" fontId="5" fillId="0" borderId="177" xfId="0" applyFont="1" applyBorder="1" applyAlignment="1">
      <alignment horizontal="center" vertical="center" shrinkToFit="1"/>
    </xf>
    <xf numFmtId="0" fontId="5" fillId="2" borderId="21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vertical="center" shrinkToFit="1"/>
    </xf>
    <xf numFmtId="0" fontId="6" fillId="0" borderId="181" xfId="0" applyFont="1" applyBorder="1" applyAlignment="1">
      <alignment vertical="center" textRotation="255" shrinkToFit="1"/>
    </xf>
    <xf numFmtId="0" fontId="3" fillId="0" borderId="172" xfId="0" applyFont="1" applyBorder="1" applyAlignment="1">
      <alignment horizontal="center" vertical="center" shrinkToFit="1"/>
    </xf>
    <xf numFmtId="0" fontId="40" fillId="2" borderId="22" xfId="0" applyFont="1" applyFill="1" applyBorder="1" applyAlignment="1">
      <alignment horizontal="center" vertical="center" shrinkToFit="1"/>
    </xf>
    <xf numFmtId="0" fontId="40" fillId="0" borderId="20" xfId="0" applyFont="1" applyBorder="1" applyAlignment="1">
      <alignment horizontal="center" vertical="center" shrinkToFit="1"/>
    </xf>
    <xf numFmtId="0" fontId="40" fillId="0" borderId="21" xfId="0" applyFont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left" vertical="center" shrinkToFit="1"/>
    </xf>
    <xf numFmtId="0" fontId="3" fillId="0" borderId="183" xfId="0" applyFont="1" applyBorder="1" applyAlignment="1">
      <alignment horizontal="left" vertical="center" shrinkToFit="1"/>
    </xf>
    <xf numFmtId="0" fontId="3" fillId="0" borderId="184" xfId="0" applyFont="1" applyBorder="1" applyAlignment="1">
      <alignment horizontal="left" vertical="center" shrinkToFi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6" fillId="2" borderId="5" xfId="0" quotePrefix="1" applyFont="1" applyFill="1" applyBorder="1" applyAlignment="1">
      <alignment horizontal="center" vertical="center" shrinkToFit="1"/>
    </xf>
    <xf numFmtId="0" fontId="36" fillId="0" borderId="2" xfId="0" applyFont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 shrinkToFit="1"/>
    </xf>
    <xf numFmtId="0" fontId="36" fillId="2" borderId="9" xfId="0" applyFont="1" applyFill="1" applyBorder="1" applyAlignment="1">
      <alignment horizontal="center" vertical="center" shrinkToFit="1"/>
    </xf>
    <xf numFmtId="0" fontId="36" fillId="0" borderId="10" xfId="0" applyFont="1" applyBorder="1" applyAlignment="1">
      <alignment horizontal="center" vertical="center" shrinkToFit="1"/>
    </xf>
    <xf numFmtId="0" fontId="36" fillId="0" borderId="11" xfId="0" applyFont="1" applyBorder="1" applyAlignment="1">
      <alignment horizontal="center" vertical="center" shrinkToFit="1"/>
    </xf>
    <xf numFmtId="0" fontId="3" fillId="2" borderId="41" xfId="0" applyFont="1" applyFill="1" applyBorder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 textRotation="255" shrinkToFit="1"/>
    </xf>
    <xf numFmtId="0" fontId="3" fillId="2" borderId="7" xfId="0" applyFont="1" applyFill="1" applyBorder="1" applyAlignment="1">
      <alignment vertical="center" textRotation="255" shrinkToFit="1"/>
    </xf>
    <xf numFmtId="0" fontId="3" fillId="0" borderId="7" xfId="0" applyFont="1" applyBorder="1" applyAlignment="1">
      <alignment vertical="center" textRotation="255" shrinkToFit="1"/>
    </xf>
    <xf numFmtId="0" fontId="3" fillId="0" borderId="9" xfId="0" applyFont="1" applyBorder="1" applyAlignment="1">
      <alignment vertical="center" textRotation="255" shrinkToFit="1"/>
    </xf>
    <xf numFmtId="0" fontId="3" fillId="0" borderId="34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3" fillId="2" borderId="178" xfId="0" applyFont="1" applyFill="1" applyBorder="1" applyAlignment="1">
      <alignment horizontal="left" vertical="center"/>
    </xf>
    <xf numFmtId="0" fontId="3" fillId="0" borderId="179" xfId="0" applyFont="1" applyBorder="1" applyAlignment="1">
      <alignment horizontal="left" vertical="center"/>
    </xf>
    <xf numFmtId="0" fontId="3" fillId="0" borderId="180" xfId="0" applyFont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0" borderId="183" xfId="0" applyFont="1" applyBorder="1" applyAlignment="1">
      <alignment horizontal="left" vertical="center"/>
    </xf>
    <xf numFmtId="0" fontId="3" fillId="0" borderId="184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center" vertical="center" shrinkToFit="1"/>
    </xf>
    <xf numFmtId="0" fontId="5" fillId="2" borderId="160" xfId="0" applyFont="1" applyFill="1" applyBorder="1" applyAlignment="1">
      <alignment horizontal="center" vertical="center" shrinkToFit="1"/>
    </xf>
    <xf numFmtId="0" fontId="34" fillId="2" borderId="34" xfId="0" applyFont="1" applyFill="1" applyBorder="1" applyAlignment="1">
      <alignment vertical="center" wrapText="1" shrinkToFit="1"/>
    </xf>
    <xf numFmtId="0" fontId="34" fillId="2" borderId="40" xfId="0" applyFont="1" applyFill="1" applyBorder="1" applyAlignment="1">
      <alignment vertical="center" wrapText="1" shrinkToFit="1"/>
    </xf>
    <xf numFmtId="0" fontId="5" fillId="2" borderId="5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2" borderId="5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2" borderId="41" xfId="0" applyFont="1" applyFill="1" applyBorder="1" applyAlignment="1">
      <alignment horizontal="center" vertical="center" shrinkToFit="1"/>
    </xf>
    <xf numFmtId="0" fontId="5" fillId="2" borderId="34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vertical="center" textRotation="255" shrinkToFit="1"/>
    </xf>
    <xf numFmtId="0" fontId="6" fillId="0" borderId="9" xfId="0" applyFont="1" applyBorder="1" applyAlignment="1">
      <alignment vertical="center" textRotation="255" shrinkToFit="1"/>
    </xf>
    <xf numFmtId="0" fontId="3" fillId="2" borderId="5" xfId="0" applyFont="1" applyFill="1" applyBorder="1" applyAlignment="1">
      <alignment vertical="center" shrinkToFit="1"/>
    </xf>
    <xf numFmtId="0" fontId="3" fillId="2" borderId="2" xfId="0" applyFont="1" applyFill="1" applyBorder="1" applyAlignment="1">
      <alignment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0" fontId="5" fillId="0" borderId="40" xfId="0" applyFont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vertical="center" shrinkToFit="1"/>
    </xf>
    <xf numFmtId="0" fontId="3" fillId="2" borderId="185" xfId="0" applyFont="1" applyFill="1" applyBorder="1" applyAlignment="1">
      <alignment horizontal="center" vertical="center" shrinkToFit="1"/>
    </xf>
    <xf numFmtId="0" fontId="3" fillId="0" borderId="18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178" xfId="0" applyFont="1" applyFill="1" applyBorder="1">
      <alignment vertical="center"/>
    </xf>
    <xf numFmtId="0" fontId="3" fillId="0" borderId="179" xfId="0" applyFont="1" applyBorder="1">
      <alignment vertical="center"/>
    </xf>
  </cellXfs>
  <cellStyles count="16">
    <cellStyle name="100" xfId="1" xr:uid="{00000000-0005-0000-0000-000000000000}"/>
    <cellStyle name="1月" xfId="2" xr:uid="{00000000-0005-0000-0000-000001000000}"/>
    <cellStyle name="Comma [0]_ SG&amp;A Bridge " xfId="3" xr:uid="{00000000-0005-0000-0000-000002000000}"/>
    <cellStyle name="Comma_ SG&amp;A Bridge " xfId="4" xr:uid="{00000000-0005-0000-0000-000003000000}"/>
    <cellStyle name="Currency [0]_ SG&amp;A Bridge " xfId="5" xr:uid="{00000000-0005-0000-0000-000004000000}"/>
    <cellStyle name="Currency_ SG&amp;A Bridge " xfId="6" xr:uid="{00000000-0005-0000-0000-000005000000}"/>
    <cellStyle name="Normal_ SG&amp;A Bridge " xfId="7" xr:uid="{00000000-0005-0000-0000-000006000000}"/>
    <cellStyle name="パーセント" xfId="8" builtinId="5"/>
    <cellStyle name="桁区切り" xfId="9" builtinId="6"/>
    <cellStyle name="桁区切り [0.00" xfId="10" xr:uid="{00000000-0005-0000-0000-000009000000}"/>
    <cellStyle name="桁区切り 2" xfId="11" xr:uid="{00000000-0005-0000-0000-00000A000000}"/>
    <cellStyle name="通貨" xfId="12" builtinId="7"/>
    <cellStyle name="通貨 2" xfId="15" xr:uid="{00000000-0005-0000-0000-00000C000000}"/>
    <cellStyle name="標準" xfId="0" builtinId="0"/>
    <cellStyle name="標準 2" xfId="14" xr:uid="{00000000-0005-0000-0000-00000E000000}"/>
    <cellStyle name="標準_就業管理台帳ＦＭ（ＮＥＷ）" xfId="13" xr:uid="{00000000-0005-0000-0000-00000F000000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45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colors>
    <mruColors>
      <color rgb="FFFFFF99"/>
      <color rgb="FF0000FF"/>
      <color rgb="FFC0C0C0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3</xdr:col>
      <xdr:colOff>685543</xdr:colOff>
      <xdr:row>27</xdr:row>
      <xdr:rowOff>79816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CE32FC-362E-45F1-9321-2D2CEE46F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257300"/>
          <a:ext cx="2057143" cy="15466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357838</xdr:colOff>
      <xdr:row>34</xdr:row>
      <xdr:rowOff>14871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3A62341-6A7A-4741-AEC6-BFD2A6BB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1257300"/>
          <a:ext cx="2415238" cy="294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205200</xdr:colOff>
      <xdr:row>57</xdr:row>
      <xdr:rowOff>209026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E3493F6-B568-4959-9B6F-13E2934E6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7753350"/>
          <a:ext cx="4320000" cy="4190476"/>
        </a:xfrm>
        <a:prstGeom prst="rect">
          <a:avLst/>
        </a:prstGeom>
      </xdr:spPr>
    </xdr:pic>
    <xdr:clientData/>
  </xdr:twoCellAnchor>
  <xdr:twoCellAnchor>
    <xdr:from>
      <xdr:col>6</xdr:col>
      <xdr:colOff>619125</xdr:colOff>
      <xdr:row>20</xdr:row>
      <xdr:rowOff>123825</xdr:rowOff>
    </xdr:from>
    <xdr:to>
      <xdr:col>8</xdr:col>
      <xdr:colOff>609600</xdr:colOff>
      <xdr:row>21</xdr:row>
      <xdr:rowOff>190500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15AD660-2E8C-4183-8D88-90523FC9A165}"/>
            </a:ext>
          </a:extLst>
        </xdr:cNvPr>
        <xdr:cNvSpPr/>
      </xdr:nvSpPr>
      <xdr:spPr>
        <a:xfrm>
          <a:off x="5419725" y="4314825"/>
          <a:ext cx="1362075" cy="276225"/>
        </a:xfrm>
        <a:prstGeom prst="roundRect">
          <a:avLst/>
        </a:prstGeom>
        <a:noFill/>
        <a:ln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123825</xdr:colOff>
      <xdr:row>52</xdr:row>
      <xdr:rowOff>200025</xdr:rowOff>
    </xdr:from>
    <xdr:to>
      <xdr:col>5</xdr:col>
      <xdr:colOff>123825</xdr:colOff>
      <xdr:row>57</xdr:row>
      <xdr:rowOff>133350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389F1580-9D8E-47AF-BDD9-DCEEB161A34C}"/>
            </a:ext>
          </a:extLst>
        </xdr:cNvPr>
        <xdr:cNvSpPr/>
      </xdr:nvSpPr>
      <xdr:spPr>
        <a:xfrm>
          <a:off x="2181225" y="10887075"/>
          <a:ext cx="2057400" cy="981075"/>
        </a:xfrm>
        <a:prstGeom prst="roundRect">
          <a:avLst/>
        </a:prstGeom>
        <a:noFill/>
        <a:ln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171450</xdr:colOff>
      <xdr:row>39</xdr:row>
      <xdr:rowOff>171451</xdr:rowOff>
    </xdr:from>
    <xdr:to>
      <xdr:col>5</xdr:col>
      <xdr:colOff>142875</xdr:colOff>
      <xdr:row>43</xdr:row>
      <xdr:rowOff>161925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CE472CEA-A46F-46B0-B7F7-52F28AB5D89D}"/>
            </a:ext>
          </a:extLst>
        </xdr:cNvPr>
        <xdr:cNvSpPr/>
      </xdr:nvSpPr>
      <xdr:spPr>
        <a:xfrm>
          <a:off x="2228850" y="8343901"/>
          <a:ext cx="2028825" cy="828674"/>
        </a:xfrm>
        <a:prstGeom prst="roundRect">
          <a:avLst/>
        </a:prstGeom>
        <a:noFill/>
        <a:ln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304800</xdr:colOff>
      <xdr:row>42</xdr:row>
      <xdr:rowOff>104775</xdr:rowOff>
    </xdr:from>
    <xdr:to>
      <xdr:col>10</xdr:col>
      <xdr:colOff>342900</xdr:colOff>
      <xdr:row>46</xdr:row>
      <xdr:rowOff>133350</xdr:rowOff>
    </xdr:to>
    <xdr:sp macro="" textlink="">
      <xdr:nvSpPr>
        <xdr:cNvPr id="24" name="吹き出し: 角を丸めた四角形 23">
          <a:extLst>
            <a:ext uri="{FF2B5EF4-FFF2-40B4-BE49-F238E27FC236}">
              <a16:creationId xmlns:a16="http://schemas.microsoft.com/office/drawing/2014/main" id="{83DB934B-B8C3-4A34-999D-A05745FFF3D6}"/>
            </a:ext>
          </a:extLst>
        </xdr:cNvPr>
        <xdr:cNvSpPr/>
      </xdr:nvSpPr>
      <xdr:spPr>
        <a:xfrm>
          <a:off x="5791200" y="8905875"/>
          <a:ext cx="2095500" cy="866775"/>
        </a:xfrm>
        <a:prstGeom prst="wedgeRoundRectCallout">
          <a:avLst>
            <a:gd name="adj1" fmla="val -65661"/>
            <a:gd name="adj2" fmla="val 37225"/>
            <a:gd name="adj3" fmla="val 16667"/>
          </a:avLst>
        </a:prstGeom>
        <a:solidFill>
          <a:srgbClr val="0000FF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36</a:t>
          </a:r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協定を自社のものに修正するのを忘れずに！</a:t>
          </a:r>
          <a:endParaRPr kumimoji="1"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493066</xdr:colOff>
      <xdr:row>49</xdr:row>
      <xdr:rowOff>39413</xdr:rowOff>
    </xdr:from>
    <xdr:ext cx="150077" cy="17030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455091" y="10974113"/>
          <a:ext cx="15007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</a:t>
          </a:r>
        </a:p>
      </xdr:txBody>
    </xdr:sp>
    <xdr:clientData/>
  </xdr:oneCellAnchor>
  <xdr:oneCellAnchor>
    <xdr:from>
      <xdr:col>14</xdr:col>
      <xdr:colOff>489972</xdr:colOff>
      <xdr:row>49</xdr:row>
      <xdr:rowOff>39413</xdr:rowOff>
    </xdr:from>
    <xdr:ext cx="150077" cy="17030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4090422" y="10974113"/>
          <a:ext cx="15007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twoCellAnchor>
    <xdr:from>
      <xdr:col>19</xdr:col>
      <xdr:colOff>28575</xdr:colOff>
      <xdr:row>44</xdr:row>
      <xdr:rowOff>28575</xdr:rowOff>
    </xdr:from>
    <xdr:to>
      <xdr:col>19</xdr:col>
      <xdr:colOff>104775</xdr:colOff>
      <xdr:row>44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6715125" y="9877425"/>
          <a:ext cx="76200" cy="7620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15</xdr:col>
      <xdr:colOff>437384</xdr:colOff>
      <xdr:row>49</xdr:row>
      <xdr:rowOff>39413</xdr:rowOff>
    </xdr:from>
    <xdr:ext cx="150665" cy="17030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4676009" y="10974113"/>
          <a:ext cx="150665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oneCellAnchor>
    <xdr:from>
      <xdr:col>16</xdr:col>
      <xdr:colOff>515185</xdr:colOff>
      <xdr:row>49</xdr:row>
      <xdr:rowOff>39413</xdr:rowOff>
    </xdr:from>
    <xdr:ext cx="150665" cy="17030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334835" y="10974113"/>
          <a:ext cx="150665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oneCellAnchor>
    <xdr:from>
      <xdr:col>17</xdr:col>
      <xdr:colOff>438781</xdr:colOff>
      <xdr:row>49</xdr:row>
      <xdr:rowOff>39413</xdr:rowOff>
    </xdr:from>
    <xdr:ext cx="149343" cy="17030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915656" y="10974113"/>
          <a:ext cx="149343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oneCellAnchor>
    <xdr:from>
      <xdr:col>19</xdr:col>
      <xdr:colOff>567853</xdr:colOff>
      <xdr:row>49</xdr:row>
      <xdr:rowOff>39413</xdr:rowOff>
    </xdr:from>
    <xdr:ext cx="159457" cy="17030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7254403" y="10974113"/>
          <a:ext cx="15945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oneCellAnchor>
    <xdr:from>
      <xdr:col>20</xdr:col>
      <xdr:colOff>568973</xdr:colOff>
      <xdr:row>49</xdr:row>
      <xdr:rowOff>39413</xdr:rowOff>
    </xdr:from>
    <xdr:ext cx="159457" cy="17030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7969898" y="10974113"/>
          <a:ext cx="15945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twoCellAnchor>
    <xdr:from>
      <xdr:col>20</xdr:col>
      <xdr:colOff>28575</xdr:colOff>
      <xdr:row>44</xdr:row>
      <xdr:rowOff>28575</xdr:rowOff>
    </xdr:from>
    <xdr:to>
      <xdr:col>20</xdr:col>
      <xdr:colOff>104775</xdr:colOff>
      <xdr:row>44</xdr:row>
      <xdr:rowOff>104775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7429500" y="9877425"/>
          <a:ext cx="76200" cy="7620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503685</xdr:colOff>
      <xdr:row>49</xdr:row>
      <xdr:rowOff>34897</xdr:rowOff>
    </xdr:from>
    <xdr:ext cx="158128" cy="17030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2113410" y="10969597"/>
          <a:ext cx="158128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</a:t>
          </a:r>
        </a:p>
      </xdr:txBody>
    </xdr:sp>
    <xdr:clientData/>
  </xdr:oneCellAnchor>
  <xdr:oneCellAnchor>
    <xdr:from>
      <xdr:col>6</xdr:col>
      <xdr:colOff>501524</xdr:colOff>
      <xdr:row>49</xdr:row>
      <xdr:rowOff>34897</xdr:rowOff>
    </xdr:from>
    <xdr:ext cx="159457" cy="170303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2758949" y="10969597"/>
          <a:ext cx="15945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</a:t>
          </a:r>
        </a:p>
      </xdr:txBody>
    </xdr:sp>
    <xdr:clientData/>
  </xdr:oneCellAnchor>
  <xdr:oneCellAnchor>
    <xdr:from>
      <xdr:col>7</xdr:col>
      <xdr:colOff>425537</xdr:colOff>
      <xdr:row>49</xdr:row>
      <xdr:rowOff>34897</xdr:rowOff>
    </xdr:from>
    <xdr:ext cx="159457" cy="170303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3378287" y="10969597"/>
          <a:ext cx="15945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</a:t>
          </a:r>
        </a:p>
      </xdr:txBody>
    </xdr:sp>
    <xdr:clientData/>
  </xdr:oneCellAnchor>
  <xdr:twoCellAnchor>
    <xdr:from>
      <xdr:col>15</xdr:col>
      <xdr:colOff>466725</xdr:colOff>
      <xdr:row>53</xdr:row>
      <xdr:rowOff>190500</xdr:rowOff>
    </xdr:from>
    <xdr:to>
      <xdr:col>16</xdr:col>
      <xdr:colOff>647700</xdr:colOff>
      <xdr:row>53</xdr:row>
      <xdr:rowOff>190500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ShapeType="1"/>
        </xdr:cNvSpPr>
      </xdr:nvSpPr>
      <xdr:spPr bwMode="auto">
        <a:xfrm>
          <a:off x="4705350" y="12001500"/>
          <a:ext cx="7620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466725</xdr:colOff>
      <xdr:row>54</xdr:row>
      <xdr:rowOff>190500</xdr:rowOff>
    </xdr:from>
    <xdr:to>
      <xdr:col>16</xdr:col>
      <xdr:colOff>647700</xdr:colOff>
      <xdr:row>54</xdr:row>
      <xdr:rowOff>190500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ShapeType="1"/>
        </xdr:cNvSpPr>
      </xdr:nvSpPr>
      <xdr:spPr bwMode="auto">
        <a:xfrm>
          <a:off x="4705350" y="12220575"/>
          <a:ext cx="7620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476250</xdr:colOff>
      <xdr:row>55</xdr:row>
      <xdr:rowOff>190500</xdr:rowOff>
    </xdr:from>
    <xdr:to>
      <xdr:col>17</xdr:col>
      <xdr:colOff>0</xdr:colOff>
      <xdr:row>55</xdr:row>
      <xdr:rowOff>190500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ShapeType="1"/>
        </xdr:cNvSpPr>
      </xdr:nvSpPr>
      <xdr:spPr bwMode="auto">
        <a:xfrm>
          <a:off x="4714875" y="12439650"/>
          <a:ext cx="7620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466725</xdr:colOff>
      <xdr:row>56</xdr:row>
      <xdr:rowOff>190500</xdr:rowOff>
    </xdr:from>
    <xdr:to>
      <xdr:col>16</xdr:col>
      <xdr:colOff>647700</xdr:colOff>
      <xdr:row>56</xdr:row>
      <xdr:rowOff>190500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>
          <a:off x="4705350" y="12658725"/>
          <a:ext cx="7620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476250</xdr:colOff>
      <xdr:row>57</xdr:row>
      <xdr:rowOff>180975</xdr:rowOff>
    </xdr:from>
    <xdr:to>
      <xdr:col>16</xdr:col>
      <xdr:colOff>657225</xdr:colOff>
      <xdr:row>57</xdr:row>
      <xdr:rowOff>180975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ShapeType="1"/>
        </xdr:cNvSpPr>
      </xdr:nvSpPr>
      <xdr:spPr bwMode="auto">
        <a:xfrm>
          <a:off x="4714875" y="12868275"/>
          <a:ext cx="7620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523875</xdr:colOff>
      <xdr:row>44</xdr:row>
      <xdr:rowOff>152400</xdr:rowOff>
    </xdr:from>
    <xdr:to>
      <xdr:col>24</xdr:col>
      <xdr:colOff>638175</xdr:colOff>
      <xdr:row>50</xdr:row>
      <xdr:rowOff>19050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>
          <a:grpSpLocks noChangeAspect="1"/>
        </xdr:cNvGrpSpPr>
      </xdr:nvGrpSpPr>
      <xdr:grpSpPr bwMode="auto">
        <a:xfrm>
          <a:off x="9353550" y="10248900"/>
          <a:ext cx="1009650" cy="1171575"/>
          <a:chOff x="729" y="1063"/>
          <a:chExt cx="92" cy="90"/>
        </a:xfrm>
      </xdr:grpSpPr>
      <xdr:sp macro="" textlink="">
        <xdr:nvSpPr>
          <xdr:cNvPr id="21" name="AutoShape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29" y="1063"/>
            <a:ext cx="92" cy="90"/>
          </a:xfrm>
          <a:prstGeom prst="roundRect">
            <a:avLst>
              <a:gd name="adj" fmla="val 4704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派遣先責任者捺印</a:t>
            </a:r>
          </a:p>
        </xdr:txBody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729" y="1081"/>
            <a:ext cx="9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180975</xdr:colOff>
      <xdr:row>59</xdr:row>
      <xdr:rowOff>161925</xdr:rowOff>
    </xdr:from>
    <xdr:to>
      <xdr:col>1</xdr:col>
      <xdr:colOff>57150</xdr:colOff>
      <xdr:row>59</xdr:row>
      <xdr:rowOff>161925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ShapeType="1"/>
        </xdr:cNvSpPr>
      </xdr:nvSpPr>
      <xdr:spPr bwMode="auto">
        <a:xfrm flipH="1">
          <a:off x="180975" y="13287375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180975</xdr:colOff>
      <xdr:row>59</xdr:row>
      <xdr:rowOff>161925</xdr:rowOff>
    </xdr:from>
    <xdr:to>
      <xdr:col>0</xdr:col>
      <xdr:colOff>180975</xdr:colOff>
      <xdr:row>62</xdr:row>
      <xdr:rowOff>238125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ShapeType="1"/>
        </xdr:cNvSpPr>
      </xdr:nvSpPr>
      <xdr:spPr bwMode="auto">
        <a:xfrm>
          <a:off x="180975" y="13287375"/>
          <a:ext cx="0" cy="781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180975</xdr:colOff>
      <xdr:row>59</xdr:row>
      <xdr:rowOff>161925</xdr:rowOff>
    </xdr:from>
    <xdr:to>
      <xdr:col>1</xdr:col>
      <xdr:colOff>57150</xdr:colOff>
      <xdr:row>59</xdr:row>
      <xdr:rowOff>161925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ShapeType="1"/>
        </xdr:cNvSpPr>
      </xdr:nvSpPr>
      <xdr:spPr bwMode="auto">
        <a:xfrm flipH="1">
          <a:off x="180975" y="13287375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180975</xdr:colOff>
      <xdr:row>59</xdr:row>
      <xdr:rowOff>161925</xdr:rowOff>
    </xdr:from>
    <xdr:to>
      <xdr:col>0</xdr:col>
      <xdr:colOff>180975</xdr:colOff>
      <xdr:row>65</xdr:row>
      <xdr:rowOff>238125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ShapeType="1"/>
        </xdr:cNvSpPr>
      </xdr:nvSpPr>
      <xdr:spPr bwMode="auto">
        <a:xfrm>
          <a:off x="180975" y="13287375"/>
          <a:ext cx="0" cy="1457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180975</xdr:colOff>
      <xdr:row>65</xdr:row>
      <xdr:rowOff>238125</xdr:rowOff>
    </xdr:from>
    <xdr:to>
      <xdr:col>1</xdr:col>
      <xdr:colOff>0</xdr:colOff>
      <xdr:row>65</xdr:row>
      <xdr:rowOff>238125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ShapeType="1"/>
        </xdr:cNvSpPr>
      </xdr:nvSpPr>
      <xdr:spPr bwMode="auto">
        <a:xfrm>
          <a:off x="180975" y="14744700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61</xdr:row>
      <xdr:rowOff>133350</xdr:rowOff>
    </xdr:from>
    <xdr:to>
      <xdr:col>22</xdr:col>
      <xdr:colOff>666750</xdr:colOff>
      <xdr:row>61</xdr:row>
      <xdr:rowOff>133350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ShapeType="1"/>
        </xdr:cNvSpPr>
      </xdr:nvSpPr>
      <xdr:spPr bwMode="auto">
        <a:xfrm>
          <a:off x="7400925" y="13696950"/>
          <a:ext cx="2085975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19050</xdr:colOff>
      <xdr:row>61</xdr:row>
      <xdr:rowOff>152400</xdr:rowOff>
    </xdr:from>
    <xdr:to>
      <xdr:col>14</xdr:col>
      <xdr:colOff>9525</xdr:colOff>
      <xdr:row>61</xdr:row>
      <xdr:rowOff>152400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ShapeType="1"/>
        </xdr:cNvSpPr>
      </xdr:nvSpPr>
      <xdr:spPr bwMode="auto">
        <a:xfrm>
          <a:off x="2276475" y="13716000"/>
          <a:ext cx="133350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180975</xdr:colOff>
      <xdr:row>59</xdr:row>
      <xdr:rowOff>161925</xdr:rowOff>
    </xdr:from>
    <xdr:to>
      <xdr:col>1</xdr:col>
      <xdr:colOff>57150</xdr:colOff>
      <xdr:row>59</xdr:row>
      <xdr:rowOff>161925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ShapeType="1"/>
        </xdr:cNvSpPr>
      </xdr:nvSpPr>
      <xdr:spPr bwMode="auto">
        <a:xfrm flipH="1">
          <a:off x="180975" y="13287375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257175</xdr:colOff>
      <xdr:row>44</xdr:row>
      <xdr:rowOff>76200</xdr:rowOff>
    </xdr:from>
    <xdr:to>
      <xdr:col>22</xdr:col>
      <xdr:colOff>257175</xdr:colOff>
      <xdr:row>51</xdr:row>
      <xdr:rowOff>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ShapeType="1"/>
        </xdr:cNvSpPr>
      </xdr:nvSpPr>
      <xdr:spPr bwMode="auto">
        <a:xfrm flipV="1">
          <a:off x="9086850" y="9925050"/>
          <a:ext cx="0" cy="144780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257175</xdr:colOff>
      <xdr:row>44</xdr:row>
      <xdr:rowOff>76200</xdr:rowOff>
    </xdr:from>
    <xdr:to>
      <xdr:col>23</xdr:col>
      <xdr:colOff>114300</xdr:colOff>
      <xdr:row>44</xdr:row>
      <xdr:rowOff>76200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ShapeType="1"/>
        </xdr:cNvSpPr>
      </xdr:nvSpPr>
      <xdr:spPr bwMode="auto">
        <a:xfrm>
          <a:off x="9086850" y="9925050"/>
          <a:ext cx="5143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114300</xdr:colOff>
      <xdr:row>44</xdr:row>
      <xdr:rowOff>9525</xdr:rowOff>
    </xdr:from>
    <xdr:to>
      <xdr:col>23</xdr:col>
      <xdr:colOff>114300</xdr:colOff>
      <xdr:row>44</xdr:row>
      <xdr:rowOff>76200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ShapeType="1"/>
        </xdr:cNvSpPr>
      </xdr:nvSpPr>
      <xdr:spPr bwMode="auto">
        <a:xfrm flipV="1">
          <a:off x="9601200" y="9858375"/>
          <a:ext cx="0" cy="666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47625</xdr:colOff>
      <xdr:row>49</xdr:row>
      <xdr:rowOff>47625</xdr:rowOff>
    </xdr:from>
    <xdr:to>
      <xdr:col>19</xdr:col>
      <xdr:colOff>123825</xdr:colOff>
      <xdr:row>49</xdr:row>
      <xdr:rowOff>123825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6734175" y="10982325"/>
          <a:ext cx="76200" cy="7620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18</xdr:col>
      <xdr:colOff>487304</xdr:colOff>
      <xdr:row>49</xdr:row>
      <xdr:rowOff>39413</xdr:rowOff>
    </xdr:from>
    <xdr:ext cx="150077" cy="170303"/>
    <xdr:sp macro="" textlink="">
      <xdr:nvSpPr>
        <xdr:cNvPr id="35" name="Rectangl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6545204" y="10974113"/>
          <a:ext cx="150077" cy="1703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18288" anchor="ctr" upright="1">
          <a:sp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Ｈ</a:t>
          </a:r>
        </a:p>
      </xdr:txBody>
    </xdr:sp>
    <xdr:clientData/>
  </xdr:oneCellAnchor>
  <xdr:twoCellAnchor>
    <xdr:from>
      <xdr:col>0</xdr:col>
      <xdr:colOff>228600</xdr:colOff>
      <xdr:row>0</xdr:row>
      <xdr:rowOff>0</xdr:rowOff>
    </xdr:from>
    <xdr:to>
      <xdr:col>5</xdr:col>
      <xdr:colOff>552450</xdr:colOff>
      <xdr:row>2</xdr:row>
      <xdr:rowOff>0</xdr:rowOff>
    </xdr:to>
    <xdr:sp macro="" textlink="">
      <xdr:nvSpPr>
        <xdr:cNvPr id="36" name="Text Box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28600" y="0"/>
          <a:ext cx="1933575" cy="381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年間保存（派遣終了日以降）</a:t>
          </a:r>
        </a:p>
      </xdr:txBody>
    </xdr:sp>
    <xdr:clientData/>
  </xdr:twoCellAnchor>
  <xdr:twoCellAnchor>
    <xdr:from>
      <xdr:col>28</xdr:col>
      <xdr:colOff>0</xdr:colOff>
      <xdr:row>1</xdr:row>
      <xdr:rowOff>0</xdr:rowOff>
    </xdr:from>
    <xdr:to>
      <xdr:col>31</xdr:col>
      <xdr:colOff>44523</xdr:colOff>
      <xdr:row>6</xdr:row>
      <xdr:rowOff>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1295529" y="190500"/>
          <a:ext cx="2095200" cy="101973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業務内容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外出先 内容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場所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>
            <a:lnSpc>
              <a:spcPts val="1100"/>
            </a:lnSpc>
          </a:pP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例）　システム開発</a:t>
          </a:r>
        </a:p>
        <a:p>
          <a:pPr>
            <a:lnSpc>
              <a:spcPts val="1100"/>
            </a:lnSpc>
          </a:pP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　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PGFL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打合せ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赤坂見附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 fPrintsWithSheet="0"/>
  </xdr:twoCellAnchor>
  <xdr:twoCellAnchor>
    <xdr:from>
      <xdr:col>31</xdr:col>
      <xdr:colOff>235323</xdr:colOff>
      <xdr:row>1</xdr:row>
      <xdr:rowOff>0</xdr:rowOff>
    </xdr:from>
    <xdr:to>
      <xdr:col>34</xdr:col>
      <xdr:colOff>224117</xdr:colOff>
      <xdr:row>6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13551273" y="190500"/>
          <a:ext cx="2093819" cy="10287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業務内容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電車遅延の場合、出社時刻も記載</a:t>
          </a:r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>
            <a:lnSpc>
              <a:spcPts val="1100"/>
            </a:lnSpc>
          </a:pP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例）　電車遅延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(9:15)</a:t>
          </a:r>
        </a:p>
        <a:p>
          <a:pPr>
            <a:lnSpc>
              <a:spcPts val="1100"/>
            </a:lnSpc>
          </a:pPr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 fPrintsWithSheet="0"/>
  </xdr:twoCellAnchor>
  <xdr:twoCellAnchor>
    <xdr:from>
      <xdr:col>23</xdr:col>
      <xdr:colOff>112059</xdr:colOff>
      <xdr:row>61</xdr:row>
      <xdr:rowOff>212911</xdr:rowOff>
    </xdr:from>
    <xdr:to>
      <xdr:col>26</xdr:col>
      <xdr:colOff>190500</xdr:colOff>
      <xdr:row>65</xdr:row>
      <xdr:rowOff>44823</xdr:rowOff>
    </xdr:to>
    <xdr:sp macro="" textlink="$P$78">
      <xdr:nvSpPr>
        <xdr:cNvPr id="39" name="楕円 38">
          <a:extLst>
            <a:ext uri="{FF2B5EF4-FFF2-40B4-BE49-F238E27FC236}">
              <a16:creationId xmlns:a16="http://schemas.microsoft.com/office/drawing/2014/main" id="{7D053753-73A4-40C1-8E77-1509DDE0742F}"/>
            </a:ext>
          </a:extLst>
        </xdr:cNvPr>
        <xdr:cNvSpPr/>
      </xdr:nvSpPr>
      <xdr:spPr>
        <a:xfrm>
          <a:off x="9625853" y="13940117"/>
          <a:ext cx="1400735" cy="79561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C5DFF49-320F-4AF2-8836-C9ADE797023A}" type="TxLink">
            <a:rPr kumimoji="1" lang="en-US" altLang="en-US" sz="2000" b="0" i="0" u="none" strike="noStrike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pPr algn="ctr"/>
            <a:t>0.00</a:t>
          </a:fld>
          <a:endParaRPr kumimoji="1" lang="ja-JP" altLang="en-US" sz="20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 fPrintsWithSheet="0"/>
  </xdr:twoCellAnchor>
  <xdr:twoCellAnchor>
    <xdr:from>
      <xdr:col>3</xdr:col>
      <xdr:colOff>0</xdr:colOff>
      <xdr:row>11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84B4359-29DC-4593-ADC3-04DC836785CD}"/>
            </a:ext>
          </a:extLst>
        </xdr:cNvPr>
        <xdr:cNvSpPr/>
      </xdr:nvSpPr>
      <xdr:spPr>
        <a:xfrm>
          <a:off x="818029" y="2185147"/>
          <a:ext cx="145677" cy="795618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4</xdr:col>
      <xdr:colOff>0</xdr:colOff>
      <xdr:row>12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C652F98A-FC47-4B8B-9D96-3193DB075D2F}"/>
            </a:ext>
          </a:extLst>
        </xdr:cNvPr>
        <xdr:cNvSpPr/>
      </xdr:nvSpPr>
      <xdr:spPr>
        <a:xfrm>
          <a:off x="963706" y="2588559"/>
          <a:ext cx="1299882" cy="392206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19</xdr:col>
      <xdr:colOff>0</xdr:colOff>
      <xdr:row>11</xdr:row>
      <xdr:rowOff>0</xdr:rowOff>
    </xdr:from>
    <xdr:to>
      <xdr:col>24</xdr:col>
      <xdr:colOff>0</xdr:colOff>
      <xdr:row>13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0F5DA6D-5D0D-4E6E-9F41-F276E182E53B}"/>
            </a:ext>
          </a:extLst>
        </xdr:cNvPr>
        <xdr:cNvSpPr/>
      </xdr:nvSpPr>
      <xdr:spPr>
        <a:xfrm>
          <a:off x="6701118" y="2185147"/>
          <a:ext cx="3048000" cy="795618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28</xdr:col>
      <xdr:colOff>0</xdr:colOff>
      <xdr:row>12</xdr:row>
      <xdr:rowOff>0</xdr:rowOff>
    </xdr:from>
    <xdr:to>
      <xdr:col>43</xdr:col>
      <xdr:colOff>0</xdr:colOff>
      <xdr:row>13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34D5BC94-F5AD-403D-BB77-A7D8205DEE65}"/>
            </a:ext>
          </a:extLst>
        </xdr:cNvPr>
        <xdr:cNvSpPr/>
      </xdr:nvSpPr>
      <xdr:spPr>
        <a:xfrm>
          <a:off x="11295529" y="2588559"/>
          <a:ext cx="10488706" cy="392206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1</xdr:col>
      <xdr:colOff>0</xdr:colOff>
      <xdr:row>63</xdr:row>
      <xdr:rowOff>0</xdr:rowOff>
    </xdr:from>
    <xdr:to>
      <xdr:col>4</xdr:col>
      <xdr:colOff>0</xdr:colOff>
      <xdr:row>64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6F78DDB5-991E-4B0D-ACC4-602FC77CC443}"/>
            </a:ext>
          </a:extLst>
        </xdr:cNvPr>
        <xdr:cNvSpPr/>
      </xdr:nvSpPr>
      <xdr:spPr>
        <a:xfrm>
          <a:off x="246529" y="14242676"/>
          <a:ext cx="717177" cy="224118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1</xdr:col>
      <xdr:colOff>0</xdr:colOff>
      <xdr:row>65</xdr:row>
      <xdr:rowOff>0</xdr:rowOff>
    </xdr:from>
    <xdr:to>
      <xdr:col>4</xdr:col>
      <xdr:colOff>0</xdr:colOff>
      <xdr:row>65</xdr:row>
      <xdr:rowOff>257734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CA541B7E-27D6-42B9-9AB9-B920B148F2B3}"/>
            </a:ext>
          </a:extLst>
        </xdr:cNvPr>
        <xdr:cNvSpPr/>
      </xdr:nvSpPr>
      <xdr:spPr>
        <a:xfrm>
          <a:off x="246529" y="14690912"/>
          <a:ext cx="717177" cy="257734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27</xdr:col>
      <xdr:colOff>0</xdr:colOff>
      <xdr:row>55</xdr:row>
      <xdr:rowOff>0</xdr:rowOff>
    </xdr:from>
    <xdr:to>
      <xdr:col>28</xdr:col>
      <xdr:colOff>0</xdr:colOff>
      <xdr:row>70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C4FE752C-00A7-4BD3-83B8-E327312D6C4C}"/>
            </a:ext>
          </a:extLst>
        </xdr:cNvPr>
        <xdr:cNvSpPr/>
      </xdr:nvSpPr>
      <xdr:spPr>
        <a:xfrm>
          <a:off x="11149853" y="12382500"/>
          <a:ext cx="145676" cy="3429000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26</xdr:col>
      <xdr:colOff>313764</xdr:colOff>
      <xdr:row>42</xdr:row>
      <xdr:rowOff>0</xdr:rowOff>
    </xdr:from>
    <xdr:to>
      <xdr:col>28</xdr:col>
      <xdr:colOff>0</xdr:colOff>
      <xdr:row>44</xdr:row>
      <xdr:rowOff>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B825255-7C18-4F92-AE14-1B28D3F32C80}"/>
            </a:ext>
          </a:extLst>
        </xdr:cNvPr>
        <xdr:cNvSpPr/>
      </xdr:nvSpPr>
      <xdr:spPr>
        <a:xfrm>
          <a:off x="11149852" y="9480176"/>
          <a:ext cx="145677" cy="448236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 fPrintsWithSheet="0"/>
  </xdr:twoCellAnchor>
  <xdr:twoCellAnchor>
    <xdr:from>
      <xdr:col>31</xdr:col>
      <xdr:colOff>235323</xdr:colOff>
      <xdr:row>6</xdr:row>
      <xdr:rowOff>168088</xdr:rowOff>
    </xdr:from>
    <xdr:to>
      <xdr:col>34</xdr:col>
      <xdr:colOff>235323</xdr:colOff>
      <xdr:row>8</xdr:row>
      <xdr:rowOff>67235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DAED700-3FE5-4942-8E66-DBC5FC290B8A}"/>
            </a:ext>
          </a:extLst>
        </xdr:cNvPr>
        <xdr:cNvSpPr/>
      </xdr:nvSpPr>
      <xdr:spPr>
        <a:xfrm>
          <a:off x="13581529" y="1378323"/>
          <a:ext cx="2106706" cy="347383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手入力する項目</a:t>
          </a:r>
        </a:p>
      </xdr:txBody>
    </xdr:sp>
    <xdr:clientData fPrintsWithSheet="0"/>
  </xdr:twoCellAnchor>
  <xdr:twoCellAnchor>
    <xdr:from>
      <xdr:col>20</xdr:col>
      <xdr:colOff>582706</xdr:colOff>
      <xdr:row>9</xdr:row>
      <xdr:rowOff>24094</xdr:rowOff>
    </xdr:from>
    <xdr:to>
      <xdr:col>24</xdr:col>
      <xdr:colOff>231882</xdr:colOff>
      <xdr:row>12</xdr:row>
      <xdr:rowOff>74124</xdr:rowOff>
    </xdr:to>
    <xdr:sp macro="" textlink="">
      <xdr:nvSpPr>
        <xdr:cNvPr id="40" name="吹き出し: 角を丸めた四角形 39">
          <a:extLst>
            <a:ext uri="{FF2B5EF4-FFF2-40B4-BE49-F238E27FC236}">
              <a16:creationId xmlns:a16="http://schemas.microsoft.com/office/drawing/2014/main" id="{E7096A2B-1F36-473E-8F3C-FCA50327D4CC}"/>
            </a:ext>
          </a:extLst>
        </xdr:cNvPr>
        <xdr:cNvSpPr/>
      </xdr:nvSpPr>
      <xdr:spPr>
        <a:xfrm>
          <a:off x="8001000" y="1951506"/>
          <a:ext cx="1980000" cy="756000"/>
        </a:xfrm>
        <a:prstGeom prst="wedgeRoundRectCallout">
          <a:avLst>
            <a:gd name="adj1" fmla="val -58492"/>
            <a:gd name="adj2" fmla="val 50593"/>
            <a:gd name="adj3" fmla="val 16667"/>
          </a:avLst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休みの場合は「休み」もしくは「有休」と記載すること</a:t>
          </a:r>
        </a:p>
      </xdr:txBody>
    </xdr:sp>
    <xdr:clientData fPrintsWithSheet="0"/>
  </xdr:twoCellAnchor>
  <xdr:twoCellAnchor>
    <xdr:from>
      <xdr:col>28</xdr:col>
      <xdr:colOff>0</xdr:colOff>
      <xdr:row>8</xdr:row>
      <xdr:rowOff>169767</xdr:rowOff>
    </xdr:from>
    <xdr:to>
      <xdr:col>31</xdr:col>
      <xdr:colOff>109323</xdr:colOff>
      <xdr:row>11</xdr:row>
      <xdr:rowOff>399090</xdr:rowOff>
    </xdr:to>
    <xdr:sp macro="" textlink="">
      <xdr:nvSpPr>
        <xdr:cNvPr id="42" name="吹き出し: 角を丸めた四角形 41">
          <a:extLst>
            <a:ext uri="{FF2B5EF4-FFF2-40B4-BE49-F238E27FC236}">
              <a16:creationId xmlns:a16="http://schemas.microsoft.com/office/drawing/2014/main" id="{9F61B05A-7722-4DB7-BBCD-1693E65171B1}"/>
            </a:ext>
          </a:extLst>
        </xdr:cNvPr>
        <xdr:cNvSpPr/>
      </xdr:nvSpPr>
      <xdr:spPr>
        <a:xfrm flipH="1">
          <a:off x="11295529" y="1873061"/>
          <a:ext cx="2160000" cy="756000"/>
        </a:xfrm>
        <a:prstGeom prst="wedgeRoundRectCallout">
          <a:avLst>
            <a:gd name="adj1" fmla="val 2065"/>
            <a:gd name="adj2" fmla="val 92096"/>
            <a:gd name="adj3" fmla="val 16667"/>
          </a:avLst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受注活動がある場合は業務内容欄に</a:t>
          </a:r>
          <a:r>
            <a:rPr kumimoji="1" lang="en-US" altLang="ja-JP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"</a:t>
          </a:r>
          <a:r>
            <a:rPr kumimoji="1" lang="ja-JP" altLang="en-US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要件定義</a:t>
          </a:r>
          <a:r>
            <a:rPr kumimoji="1" lang="en-US" altLang="ja-JP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"</a:t>
          </a:r>
          <a:r>
            <a:rPr kumimoji="1" lang="ja-JP" altLang="en-US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、</a:t>
          </a:r>
          <a:r>
            <a:rPr kumimoji="1" lang="en-US" altLang="ja-JP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"</a:t>
          </a:r>
          <a:r>
            <a:rPr kumimoji="1" lang="ja-JP" altLang="en-US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見積り</a:t>
          </a:r>
          <a:r>
            <a:rPr kumimoji="1" lang="en-US" altLang="ja-JP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"</a:t>
          </a:r>
          <a:r>
            <a:rPr kumimoji="1" lang="ja-JP" altLang="en-US" sz="1000" b="0">
              <a:solidFill>
                <a:srgbClr val="FFFF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などの詳細を記載すること</a:t>
          </a:r>
          <a:endParaRPr kumimoji="1" lang="en-US" altLang="ja-JP" sz="1000" b="0">
            <a:solidFill>
              <a:srgbClr val="FFFF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 fPrintsWithSheet="0"/>
  </xdr:twoCellAnchor>
  <xdr:twoCellAnchor>
    <xdr:from>
      <xdr:col>24</xdr:col>
      <xdr:colOff>309282</xdr:colOff>
      <xdr:row>4</xdr:row>
      <xdr:rowOff>12700</xdr:rowOff>
    </xdr:from>
    <xdr:to>
      <xdr:col>24</xdr:col>
      <xdr:colOff>639482</xdr:colOff>
      <xdr:row>5</xdr:row>
      <xdr:rowOff>118782</xdr:rowOff>
    </xdr:to>
    <xdr:pic>
      <xdr:nvPicPr>
        <xdr:cNvPr id="43" name="本人電子印_ソン">
          <a:extLst>
            <a:ext uri="{FF2B5EF4-FFF2-40B4-BE49-F238E27FC236}">
              <a16:creationId xmlns:a16="http://schemas.microsoft.com/office/drawing/2014/main" id="{C1DF78A8-6A52-4572-6871-5FB93A929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0" y="774700"/>
          <a:ext cx="3302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</xdr:row>
      <xdr:rowOff>133350</xdr:rowOff>
    </xdr:from>
    <xdr:to>
      <xdr:col>8</xdr:col>
      <xdr:colOff>590550</xdr:colOff>
      <xdr:row>2</xdr:row>
      <xdr:rowOff>238125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733425"/>
          <a:ext cx="10477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2</xdr:row>
      <xdr:rowOff>133350</xdr:rowOff>
    </xdr:from>
    <xdr:to>
      <xdr:col>8</xdr:col>
      <xdr:colOff>590550</xdr:colOff>
      <xdr:row>2</xdr:row>
      <xdr:rowOff>238125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733425"/>
          <a:ext cx="10477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1247775</xdr:colOff>
      <xdr:row>0</xdr:row>
      <xdr:rowOff>19050</xdr:rowOff>
    </xdr:from>
    <xdr:to>
      <xdr:col>4</xdr:col>
      <xdr:colOff>1716742</xdr:colOff>
      <xdr:row>2</xdr:row>
      <xdr:rowOff>134469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831FD6FC-1072-4F50-8A9B-B4FC9D6E191B}"/>
            </a:ext>
          </a:extLst>
        </xdr:cNvPr>
        <xdr:cNvSpPr/>
      </xdr:nvSpPr>
      <xdr:spPr>
        <a:xfrm>
          <a:off x="2676525" y="19050"/>
          <a:ext cx="1983442" cy="715494"/>
        </a:xfrm>
        <a:prstGeom prst="wedgeRoundRectCallout">
          <a:avLst>
            <a:gd name="adj1" fmla="val 2065"/>
            <a:gd name="adj2" fmla="val 92096"/>
            <a:gd name="adj3" fmla="val 16667"/>
          </a:avLst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IC</a:t>
          </a:r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精算の場合は</a:t>
          </a:r>
          <a:r>
            <a:rPr kumimoji="1" lang="en-US" altLang="ja-JP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IC</a:t>
          </a:r>
          <a:r>
            <a:rPr kumimoji="1" lang="ja-JP" altLang="en-US" sz="1000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精算金額を、切符精算の場合は切符精算金額を記載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44</xdr:col>
          <xdr:colOff>0</xdr:colOff>
          <xdr:row>109</xdr:row>
          <xdr:rowOff>152400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:$AR$46" spid="_x0000_s414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1639550"/>
              <a:ext cx="7772400" cy="10096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45</xdr:col>
          <xdr:colOff>0</xdr:colOff>
          <xdr:row>109</xdr:row>
          <xdr:rowOff>152400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:$AS$46" spid="_x0000_s342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1639550"/>
              <a:ext cx="7943850" cy="10096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-0.249977111117893"/>
  </sheetPr>
  <dimension ref="A1:K45"/>
  <sheetViews>
    <sheetView topLeftCell="A27" workbookViewId="0">
      <selection activeCell="S16" sqref="S16"/>
    </sheetView>
  </sheetViews>
  <sheetFormatPr defaultColWidth="9" defaultRowHeight="16.5"/>
  <cols>
    <col min="1" max="1" width="18" style="314" customWidth="1"/>
    <col min="2" max="16384" width="9" style="314"/>
  </cols>
  <sheetData>
    <row r="1" spans="1:2">
      <c r="A1" s="314" t="s">
        <v>199</v>
      </c>
    </row>
    <row r="2" spans="1:2">
      <c r="A2" s="314" t="s">
        <v>200</v>
      </c>
    </row>
    <row r="3" spans="1:2">
      <c r="A3" s="314" t="s">
        <v>201</v>
      </c>
      <c r="B3" s="314" t="s">
        <v>207</v>
      </c>
    </row>
    <row r="4" spans="1:2">
      <c r="B4" s="314" t="s">
        <v>208</v>
      </c>
    </row>
    <row r="6" spans="1:2">
      <c r="A6" s="314" t="s">
        <v>202</v>
      </c>
      <c r="B6" s="314" t="s">
        <v>203</v>
      </c>
    </row>
    <row r="7" spans="1:2">
      <c r="B7" s="314" t="s">
        <v>204</v>
      </c>
    </row>
    <row r="8" spans="1:2">
      <c r="B8" s="314" t="s">
        <v>205</v>
      </c>
    </row>
    <row r="10" spans="1:2">
      <c r="A10" s="314" t="s">
        <v>206</v>
      </c>
      <c r="B10" s="314" t="s">
        <v>212</v>
      </c>
    </row>
    <row r="11" spans="1:2">
      <c r="B11" s="314" t="s">
        <v>210</v>
      </c>
    </row>
    <row r="12" spans="1:2">
      <c r="B12" s="314" t="s">
        <v>209</v>
      </c>
    </row>
    <row r="13" spans="1:2">
      <c r="B13" s="314" t="s">
        <v>211</v>
      </c>
    </row>
    <row r="14" spans="1:2">
      <c r="B14" s="314" t="s">
        <v>209</v>
      </c>
    </row>
    <row r="16" spans="1:2">
      <c r="A16" s="314" t="s">
        <v>213</v>
      </c>
    </row>
    <row r="19" spans="1:11">
      <c r="A19" s="454" t="s">
        <v>272</v>
      </c>
      <c r="B19" s="454"/>
      <c r="C19" s="454"/>
      <c r="D19" s="454"/>
      <c r="E19" s="454"/>
      <c r="F19" s="454"/>
      <c r="G19" s="454"/>
      <c r="H19" s="454"/>
      <c r="I19" s="454"/>
      <c r="J19" s="454"/>
      <c r="K19" s="454"/>
    </row>
    <row r="20" spans="1:11">
      <c r="A20" s="454" t="s">
        <v>201</v>
      </c>
      <c r="B20" s="454" t="s">
        <v>274</v>
      </c>
      <c r="C20" s="454"/>
      <c r="D20" s="454"/>
      <c r="E20" s="454"/>
      <c r="F20" s="454"/>
      <c r="G20" s="454" t="s">
        <v>271</v>
      </c>
      <c r="H20" s="454"/>
      <c r="I20" s="454"/>
      <c r="J20" s="454"/>
      <c r="K20" s="454"/>
    </row>
    <row r="21" spans="1:11">
      <c r="A21" s="454"/>
      <c r="B21" s="454"/>
      <c r="C21" s="454"/>
      <c r="D21" s="454"/>
      <c r="E21" s="454"/>
      <c r="F21" s="454"/>
      <c r="G21" s="454"/>
      <c r="H21" s="454"/>
      <c r="I21" s="454"/>
      <c r="J21" s="454"/>
      <c r="K21" s="454"/>
    </row>
    <row r="22" spans="1:11">
      <c r="A22" s="454"/>
      <c r="B22" s="454"/>
      <c r="C22" s="454"/>
      <c r="D22" s="454"/>
      <c r="E22" s="454"/>
      <c r="F22" s="454"/>
      <c r="G22" s="454"/>
      <c r="H22" s="454"/>
      <c r="I22" s="454"/>
      <c r="J22" s="454"/>
      <c r="K22" s="454"/>
    </row>
    <row r="23" spans="1:11">
      <c r="A23" s="454"/>
      <c r="B23" s="454"/>
      <c r="C23" s="454"/>
      <c r="D23" s="454"/>
      <c r="E23" s="454"/>
      <c r="F23" s="454"/>
      <c r="G23" s="454"/>
      <c r="H23" s="454"/>
      <c r="I23" s="454"/>
      <c r="J23" s="454"/>
      <c r="K23" s="454"/>
    </row>
    <row r="24" spans="1:11">
      <c r="A24" s="454"/>
      <c r="B24" s="454"/>
      <c r="C24" s="454"/>
      <c r="D24" s="454"/>
      <c r="E24" s="454"/>
      <c r="F24" s="454"/>
      <c r="G24" s="454"/>
      <c r="H24" s="454"/>
      <c r="I24" s="454"/>
      <c r="J24" s="454"/>
      <c r="K24" s="454"/>
    </row>
    <row r="25" spans="1:11">
      <c r="A25" s="454"/>
      <c r="B25" s="454"/>
      <c r="C25" s="454"/>
      <c r="D25" s="454"/>
      <c r="E25" s="454"/>
      <c r="F25" s="454"/>
      <c r="G25" s="454"/>
      <c r="H25" s="454"/>
      <c r="I25" s="454"/>
      <c r="J25" s="454"/>
      <c r="K25" s="454"/>
    </row>
    <row r="26" spans="1:11">
      <c r="A26" s="454"/>
      <c r="B26" s="454"/>
      <c r="C26" s="454"/>
      <c r="D26" s="454"/>
      <c r="E26" s="454"/>
      <c r="F26" s="454"/>
      <c r="G26" s="454"/>
      <c r="H26" s="454"/>
      <c r="I26" s="454"/>
      <c r="J26" s="454"/>
      <c r="K26" s="454"/>
    </row>
    <row r="27" spans="1:11">
      <c r="A27" s="454"/>
      <c r="B27" s="454"/>
      <c r="C27" s="454"/>
      <c r="D27" s="454"/>
      <c r="E27" s="454"/>
      <c r="F27" s="454"/>
      <c r="G27" s="454"/>
      <c r="H27" s="454"/>
      <c r="I27" s="454"/>
      <c r="J27" s="454"/>
      <c r="K27" s="454"/>
    </row>
    <row r="28" spans="1:11">
      <c r="A28" s="454"/>
      <c r="B28" s="454"/>
      <c r="C28" s="454"/>
      <c r="D28" s="454"/>
      <c r="E28" s="454"/>
      <c r="F28" s="454"/>
      <c r="G28" s="454"/>
      <c r="H28" s="454"/>
      <c r="I28" s="454"/>
      <c r="J28" s="454"/>
      <c r="K28" s="454"/>
    </row>
    <row r="29" spans="1:11">
      <c r="A29" s="454"/>
      <c r="B29" s="454"/>
      <c r="C29" s="454"/>
      <c r="D29" s="454"/>
      <c r="E29" s="454"/>
      <c r="F29" s="454"/>
      <c r="G29" s="454"/>
      <c r="H29" s="454"/>
      <c r="I29" s="454"/>
      <c r="J29" s="454"/>
      <c r="K29" s="454"/>
    </row>
    <row r="30" spans="1:11">
      <c r="A30" s="454"/>
      <c r="B30" s="454"/>
      <c r="C30" s="454"/>
      <c r="D30" s="454"/>
      <c r="E30" s="454"/>
      <c r="F30" s="454"/>
      <c r="G30" s="454"/>
      <c r="H30" s="454"/>
      <c r="I30" s="454"/>
      <c r="J30" s="454"/>
      <c r="K30" s="454"/>
    </row>
    <row r="31" spans="1:11">
      <c r="A31" s="454"/>
      <c r="B31" s="454"/>
      <c r="C31" s="454"/>
      <c r="D31" s="454"/>
      <c r="E31" s="454"/>
      <c r="F31" s="454"/>
      <c r="G31" s="454"/>
      <c r="H31" s="454"/>
      <c r="I31" s="454"/>
      <c r="J31" s="454"/>
      <c r="K31" s="454"/>
    </row>
    <row r="32" spans="1:11">
      <c r="A32" s="454"/>
      <c r="B32" s="454"/>
      <c r="C32" s="454"/>
      <c r="D32" s="454"/>
      <c r="E32" s="454"/>
      <c r="F32" s="454"/>
      <c r="G32" s="454"/>
      <c r="H32" s="454"/>
      <c r="I32" s="454"/>
      <c r="J32" s="454"/>
      <c r="K32" s="454"/>
    </row>
    <row r="33" spans="1:11">
      <c r="A33" s="454"/>
      <c r="B33" s="454"/>
      <c r="C33" s="454"/>
      <c r="D33" s="454"/>
      <c r="E33" s="454"/>
      <c r="F33" s="454"/>
      <c r="G33" s="454"/>
      <c r="H33" s="454"/>
      <c r="I33" s="454"/>
      <c r="J33" s="454"/>
      <c r="K33" s="454"/>
    </row>
    <row r="34" spans="1:11">
      <c r="A34" s="454"/>
      <c r="B34" s="454"/>
      <c r="C34" s="454"/>
      <c r="D34" s="454"/>
      <c r="E34" s="454"/>
      <c r="F34" s="454"/>
      <c r="G34" s="454"/>
      <c r="H34" s="454"/>
      <c r="I34" s="454"/>
      <c r="J34" s="454"/>
      <c r="K34" s="454"/>
    </row>
    <row r="35" spans="1:11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</row>
    <row r="36" spans="1:11">
      <c r="A36" s="454"/>
      <c r="B36" s="454"/>
      <c r="C36" s="454"/>
      <c r="D36" s="454"/>
      <c r="E36" s="454"/>
      <c r="F36" s="454"/>
      <c r="G36" s="454"/>
      <c r="H36" s="454"/>
      <c r="I36" s="454"/>
      <c r="J36" s="454"/>
      <c r="K36" s="454"/>
    </row>
    <row r="37" spans="1:11">
      <c r="A37" s="454"/>
      <c r="B37" s="454" t="s">
        <v>275</v>
      </c>
      <c r="C37" s="454"/>
      <c r="D37" s="454"/>
      <c r="E37" s="454"/>
      <c r="F37" s="454"/>
      <c r="G37" s="454"/>
      <c r="H37" s="454"/>
      <c r="I37" s="454"/>
      <c r="J37" s="454"/>
      <c r="K37" s="454"/>
    </row>
    <row r="38" spans="1:11">
      <c r="A38" s="454"/>
      <c r="B38" s="454" t="s">
        <v>273</v>
      </c>
      <c r="C38" s="454"/>
      <c r="D38" s="454"/>
      <c r="E38" s="454"/>
      <c r="F38" s="454"/>
      <c r="G38" s="454"/>
      <c r="H38" s="454"/>
      <c r="I38" s="454"/>
      <c r="J38" s="454"/>
      <c r="K38" s="454"/>
    </row>
    <row r="39" spans="1:11">
      <c r="A39" s="454"/>
      <c r="B39" s="454"/>
      <c r="C39" s="454"/>
      <c r="D39" s="454"/>
      <c r="E39" s="454"/>
      <c r="F39" s="454"/>
      <c r="G39" s="454"/>
      <c r="H39" s="454"/>
      <c r="I39" s="454"/>
      <c r="J39" s="454"/>
      <c r="K39" s="454"/>
    </row>
    <row r="40" spans="1:11">
      <c r="A40" s="454"/>
      <c r="B40" s="454"/>
      <c r="C40" s="454"/>
      <c r="D40" s="454"/>
      <c r="E40" s="454"/>
      <c r="F40" s="454"/>
      <c r="G40" s="454"/>
      <c r="H40" s="454"/>
      <c r="I40" s="454"/>
      <c r="J40" s="454"/>
      <c r="K40" s="454"/>
    </row>
    <row r="41" spans="1:11">
      <c r="A41" s="454"/>
      <c r="B41" s="454"/>
      <c r="C41" s="454"/>
      <c r="D41" s="454"/>
      <c r="E41" s="454"/>
      <c r="F41" s="454"/>
      <c r="G41" s="454"/>
      <c r="H41" s="454"/>
      <c r="I41" s="454"/>
      <c r="J41" s="454"/>
      <c r="K41" s="454"/>
    </row>
    <row r="42" spans="1:11">
      <c r="A42" s="454"/>
      <c r="B42" s="454"/>
      <c r="C42" s="454"/>
      <c r="D42" s="454"/>
      <c r="E42" s="454"/>
      <c r="F42" s="454"/>
      <c r="G42" s="454"/>
      <c r="H42" s="454"/>
      <c r="I42" s="454"/>
      <c r="J42" s="454"/>
      <c r="K42" s="454"/>
    </row>
    <row r="43" spans="1:11">
      <c r="A43" s="454"/>
      <c r="B43" s="454"/>
      <c r="C43" s="454"/>
      <c r="D43" s="454"/>
      <c r="E43" s="454"/>
      <c r="F43" s="454"/>
      <c r="G43" s="454"/>
      <c r="H43" s="454"/>
      <c r="I43" s="454"/>
      <c r="J43" s="454"/>
      <c r="K43" s="454"/>
    </row>
    <row r="44" spans="1:11">
      <c r="A44" s="454"/>
      <c r="B44" s="454"/>
      <c r="C44" s="454"/>
      <c r="D44" s="454"/>
      <c r="E44" s="454"/>
      <c r="F44" s="454"/>
      <c r="G44" s="454"/>
      <c r="H44" s="454"/>
      <c r="I44" s="454"/>
      <c r="J44" s="454"/>
      <c r="K44" s="454"/>
    </row>
    <row r="45" spans="1:11">
      <c r="A45" s="454"/>
      <c r="B45" s="454"/>
      <c r="C45" s="454"/>
      <c r="D45" s="454"/>
      <c r="E45" s="454"/>
      <c r="F45" s="454"/>
      <c r="G45" s="454"/>
      <c r="H45" s="454"/>
      <c r="I45" s="454"/>
      <c r="J45" s="454"/>
      <c r="K45" s="454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AZ82"/>
  <sheetViews>
    <sheetView showGridLines="0" tabSelected="1" topLeftCell="A10" zoomScaleNormal="100" workbookViewId="0">
      <selection activeCell="AG20" sqref="AG20"/>
    </sheetView>
  </sheetViews>
  <sheetFormatPr defaultColWidth="8" defaultRowHeight="12"/>
  <cols>
    <col min="1" max="1" width="3.25" style="20" customWidth="1"/>
    <col min="2" max="2" width="4.5" style="20" customWidth="1"/>
    <col min="3" max="3" width="3" style="20" customWidth="1"/>
    <col min="4" max="4" width="1.875" style="20" customWidth="1"/>
    <col min="5" max="6" width="8.5" style="20" customWidth="1"/>
    <col min="7" max="7" width="9.125" style="20" customWidth="1"/>
    <col min="8" max="8" width="8.5" style="20" customWidth="1"/>
    <col min="9" max="12" width="8" style="25" hidden="1" customWidth="1"/>
    <col min="13" max="13" width="5" style="25" hidden="1" customWidth="1"/>
    <col min="14" max="14" width="5.875" style="25" hidden="1" customWidth="1"/>
    <col min="15" max="15" width="8.375" style="20" customWidth="1"/>
    <col min="16" max="16" width="7.625" style="20" customWidth="1"/>
    <col min="17" max="17" width="8.625" style="20" customWidth="1"/>
    <col min="18" max="18" width="7.625" style="20" customWidth="1"/>
    <col min="19" max="19" width="8.25" style="20" customWidth="1"/>
    <col min="20" max="22" width="9.375" style="20" customWidth="1"/>
    <col min="23" max="23" width="8.625" style="20" customWidth="1"/>
    <col min="24" max="24" width="3.125" style="20" customWidth="1"/>
    <col min="25" max="25" width="8.875" style="20" customWidth="1"/>
    <col min="26" max="26" width="5.375" style="20" customWidth="1"/>
    <col min="27" max="27" width="4.125" style="20" customWidth="1"/>
    <col min="28" max="28" width="1.875" style="20" customWidth="1"/>
    <col min="29" max="29" width="9.875" style="125" customWidth="1"/>
    <col min="30" max="30" width="12" style="20" customWidth="1"/>
    <col min="31" max="31" width="5" style="20" customWidth="1"/>
    <col min="32" max="32" width="10.625" style="125" customWidth="1"/>
    <col min="33" max="33" width="12" style="20" customWidth="1"/>
    <col min="34" max="34" width="5" style="20" customWidth="1"/>
    <col min="35" max="35" width="10.75" style="125" customWidth="1"/>
    <col min="36" max="36" width="12" style="20" customWidth="1"/>
    <col min="37" max="37" width="5" style="20" customWidth="1"/>
    <col min="38" max="38" width="10.5" style="125" customWidth="1"/>
    <col min="39" max="39" width="12" style="20" customWidth="1"/>
    <col min="40" max="40" width="5" style="20" customWidth="1"/>
    <col min="41" max="41" width="10.75" style="125" customWidth="1"/>
    <col min="42" max="42" width="12" style="20" customWidth="1"/>
    <col min="43" max="43" width="5" style="20" customWidth="1"/>
    <col min="44" max="44" width="5.625" style="20" customWidth="1"/>
    <col min="45" max="45" width="5.5" style="20" customWidth="1"/>
    <col min="46" max="46" width="8" style="20"/>
    <col min="47" max="48" width="8.875" style="20" customWidth="1"/>
    <col min="49" max="50" width="8.75" style="20" customWidth="1"/>
    <col min="51" max="16384" width="8" style="20"/>
  </cols>
  <sheetData>
    <row r="1" spans="1:52" ht="15" customHeight="1">
      <c r="A1" s="603" t="s">
        <v>253</v>
      </c>
      <c r="G1" s="604" t="s">
        <v>331</v>
      </c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6"/>
      <c r="Y1" s="213">
        <f>MONTH(Q3)</f>
        <v>9</v>
      </c>
      <c r="AC1" s="21"/>
      <c r="AF1" s="21"/>
      <c r="AI1" s="21"/>
      <c r="AL1" s="21"/>
      <c r="AO1" s="21"/>
      <c r="AU1" s="315" t="s">
        <v>214</v>
      </c>
      <c r="AV1" s="315">
        <v>7.75</v>
      </c>
      <c r="AW1" s="20" t="s">
        <v>278</v>
      </c>
      <c r="AX1" s="20" t="s">
        <v>279</v>
      </c>
    </row>
    <row r="2" spans="1:52" ht="15" customHeight="1">
      <c r="A2" s="603"/>
      <c r="G2" s="607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9"/>
      <c r="U2" s="22" t="s">
        <v>31</v>
      </c>
      <c r="V2" s="610">
        <f>H3</f>
        <v>46255</v>
      </c>
      <c r="W2" s="610"/>
      <c r="X2" s="184"/>
      <c r="Y2" s="23"/>
      <c r="Z2" s="23"/>
      <c r="AA2" s="23"/>
      <c r="AB2" s="23"/>
      <c r="AC2" s="21"/>
      <c r="AE2" s="455" t="s">
        <v>277</v>
      </c>
      <c r="AF2" s="21"/>
      <c r="AI2" s="21"/>
      <c r="AL2" s="21"/>
      <c r="AO2" s="21"/>
      <c r="AU2" s="316" t="s">
        <v>215</v>
      </c>
      <c r="AV2" s="317">
        <v>0.75</v>
      </c>
      <c r="AW2" s="317">
        <v>0.70833333333333337</v>
      </c>
      <c r="AX2" s="317">
        <v>0.79166666666666663</v>
      </c>
    </row>
    <row r="3" spans="1:52" ht="15" customHeight="1">
      <c r="A3" s="603"/>
      <c r="G3" s="20" t="s">
        <v>32</v>
      </c>
      <c r="H3" s="611">
        <v>46255</v>
      </c>
      <c r="I3" s="611"/>
      <c r="J3" s="611"/>
      <c r="K3" s="611"/>
      <c r="L3" s="611"/>
      <c r="M3" s="611"/>
      <c r="N3" s="611"/>
      <c r="O3" s="611"/>
      <c r="P3" s="185"/>
      <c r="Q3" s="611">
        <f>DATE(YEAR(H3),MONTH(H3)+1,20)</f>
        <v>46285</v>
      </c>
      <c r="R3" s="611"/>
      <c r="S3" s="24"/>
      <c r="U3" s="344" t="s">
        <v>254</v>
      </c>
      <c r="V3" s="493" t="s">
        <v>257</v>
      </c>
      <c r="W3" s="493"/>
      <c r="X3" s="184"/>
      <c r="AC3" s="21"/>
      <c r="AE3" s="455" t="s">
        <v>278</v>
      </c>
      <c r="AF3" s="21"/>
      <c r="AI3" s="21"/>
      <c r="AL3" s="21"/>
      <c r="AO3" s="21"/>
      <c r="AU3" s="318"/>
      <c r="AV3" s="317">
        <v>0.91666666666666663</v>
      </c>
    </row>
    <row r="4" spans="1:52" ht="15" customHeight="1" thickBot="1">
      <c r="A4" s="603"/>
      <c r="B4" s="20" t="s">
        <v>33</v>
      </c>
      <c r="R4" s="20" t="s">
        <v>34</v>
      </c>
      <c r="AC4" s="21"/>
      <c r="AE4" s="455" t="s">
        <v>279</v>
      </c>
      <c r="AF4" s="21"/>
      <c r="AI4" s="21"/>
      <c r="AL4" s="21"/>
      <c r="AO4" s="21"/>
      <c r="AU4" s="315" t="s">
        <v>216</v>
      </c>
      <c r="AV4" s="317">
        <v>0.9375</v>
      </c>
    </row>
    <row r="5" spans="1:52" ht="18" customHeight="1">
      <c r="A5" s="603"/>
      <c r="B5" s="26" t="s">
        <v>35</v>
      </c>
      <c r="C5" s="27"/>
      <c r="D5" s="27"/>
      <c r="E5" s="28"/>
      <c r="F5" s="612" t="s">
        <v>284</v>
      </c>
      <c r="G5" s="613"/>
      <c r="H5" s="613"/>
      <c r="I5" s="613"/>
      <c r="J5" s="613"/>
      <c r="K5" s="613"/>
      <c r="L5" s="613"/>
      <c r="M5" s="613"/>
      <c r="N5" s="613"/>
      <c r="O5" s="613"/>
      <c r="P5" s="614"/>
      <c r="R5" s="615" t="s">
        <v>36</v>
      </c>
      <c r="S5" s="616"/>
      <c r="T5" s="617"/>
      <c r="U5" s="612" t="str">
        <f>パラメータ!B4</f>
        <v>グエン ホン ソン</v>
      </c>
      <c r="V5" s="613"/>
      <c r="W5" s="613"/>
      <c r="X5" s="613"/>
      <c r="Y5" s="614"/>
      <c r="AB5"/>
      <c r="AC5" s="346"/>
      <c r="AE5" s="455" t="s">
        <v>280</v>
      </c>
      <c r="AF5" s="21"/>
      <c r="AI5" s="21"/>
      <c r="AL5" s="21"/>
      <c r="AO5" s="21"/>
      <c r="AT5" s="344" t="s">
        <v>282</v>
      </c>
      <c r="AU5" s="315" t="s">
        <v>217</v>
      </c>
      <c r="AV5" s="319">
        <v>2500</v>
      </c>
    </row>
    <row r="6" spans="1:52" ht="18" customHeight="1">
      <c r="A6" s="603"/>
      <c r="B6" s="29" t="s">
        <v>37</v>
      </c>
      <c r="C6" s="30"/>
      <c r="D6" s="30"/>
      <c r="E6" s="31"/>
      <c r="F6" s="583" t="s">
        <v>285</v>
      </c>
      <c r="G6" s="584"/>
      <c r="H6" s="584"/>
      <c r="I6" s="584"/>
      <c r="J6" s="584"/>
      <c r="K6" s="584"/>
      <c r="L6" s="584"/>
      <c r="M6" s="584"/>
      <c r="N6" s="584"/>
      <c r="O6" s="584"/>
      <c r="P6" s="585"/>
      <c r="R6" s="618" t="s">
        <v>38</v>
      </c>
      <c r="S6" s="510"/>
      <c r="T6" s="619"/>
      <c r="U6" s="583" t="s">
        <v>307</v>
      </c>
      <c r="V6" s="584"/>
      <c r="W6" s="584"/>
      <c r="X6" s="584"/>
      <c r="Y6" s="585"/>
      <c r="Z6" s="32"/>
      <c r="AA6" s="32"/>
      <c r="AB6"/>
      <c r="AC6" s="347"/>
      <c r="AE6" s="455" t="s">
        <v>281</v>
      </c>
      <c r="AF6" s="21"/>
      <c r="AI6" s="21"/>
      <c r="AL6" s="21"/>
      <c r="AO6" s="21"/>
      <c r="AT6" s="344" t="s">
        <v>282</v>
      </c>
      <c r="AU6" s="315" t="s">
        <v>218</v>
      </c>
      <c r="AV6" s="319">
        <v>400000</v>
      </c>
      <c r="AW6" s="464"/>
    </row>
    <row r="7" spans="1:52" ht="21" customHeight="1">
      <c r="A7" s="603"/>
      <c r="B7" s="29" t="s">
        <v>39</v>
      </c>
      <c r="C7" s="30"/>
      <c r="D7" s="30"/>
      <c r="E7" s="31"/>
      <c r="F7" s="620" t="s">
        <v>298</v>
      </c>
      <c r="G7" s="621"/>
      <c r="H7" s="621"/>
      <c r="I7" s="621"/>
      <c r="J7" s="621"/>
      <c r="K7" s="621"/>
      <c r="L7" s="621"/>
      <c r="M7" s="621"/>
      <c r="N7" s="621"/>
      <c r="O7" s="621"/>
      <c r="P7" s="622"/>
      <c r="R7" s="618" t="s">
        <v>40</v>
      </c>
      <c r="S7" s="510"/>
      <c r="T7" s="619"/>
      <c r="U7" s="583"/>
      <c r="V7" s="584"/>
      <c r="W7" s="584"/>
      <c r="X7" s="584"/>
      <c r="Y7" s="585"/>
      <c r="Z7" s="32"/>
      <c r="AA7" s="32"/>
      <c r="AB7"/>
      <c r="AC7" s="347"/>
      <c r="AF7" s="21"/>
      <c r="AI7" s="21"/>
      <c r="AL7" s="21"/>
      <c r="AO7" s="21"/>
      <c r="AU7" s="315" t="s">
        <v>219</v>
      </c>
      <c r="AV7" s="317">
        <v>0.47916666666666669</v>
      </c>
      <c r="AW7" s="465"/>
    </row>
    <row r="8" spans="1:52" ht="17.25" customHeight="1">
      <c r="A8" s="603"/>
      <c r="B8" s="29" t="s">
        <v>235</v>
      </c>
      <c r="C8" s="30"/>
      <c r="D8" s="30"/>
      <c r="E8" s="31"/>
      <c r="F8" s="620" t="s">
        <v>299</v>
      </c>
      <c r="G8" s="621"/>
      <c r="H8" s="621"/>
      <c r="I8" s="621"/>
      <c r="J8" s="621"/>
      <c r="K8" s="621"/>
      <c r="L8" s="621"/>
      <c r="M8" s="621"/>
      <c r="N8" s="621"/>
      <c r="O8" s="621"/>
      <c r="P8" s="622"/>
      <c r="R8" s="623" t="s">
        <v>41</v>
      </c>
      <c r="S8" s="624"/>
      <c r="T8" s="625"/>
      <c r="U8" s="583" t="s">
        <v>308</v>
      </c>
      <c r="V8" s="584"/>
      <c r="W8" s="584"/>
      <c r="X8" s="584"/>
      <c r="Y8" s="585"/>
      <c r="Z8" s="32"/>
      <c r="AA8" s="32"/>
      <c r="AB8"/>
      <c r="AC8" s="347"/>
      <c r="AD8" s="400"/>
      <c r="AF8" s="21"/>
      <c r="AI8" s="21"/>
      <c r="AL8" s="21"/>
      <c r="AO8" s="21"/>
      <c r="AU8" s="315" t="s">
        <v>220</v>
      </c>
      <c r="AV8" s="315">
        <v>20</v>
      </c>
    </row>
    <row r="9" spans="1:52" ht="17.25" customHeight="1" thickBot="1">
      <c r="A9" s="603"/>
      <c r="B9" s="441" t="s">
        <v>42</v>
      </c>
      <c r="C9" s="442"/>
      <c r="D9" s="442"/>
      <c r="E9" s="443"/>
      <c r="F9" s="588" t="s">
        <v>286</v>
      </c>
      <c r="G9" s="589"/>
      <c r="H9" s="589"/>
      <c r="I9" s="589"/>
      <c r="J9" s="589"/>
      <c r="K9" s="589"/>
      <c r="L9" s="589"/>
      <c r="M9" s="589"/>
      <c r="N9" s="589"/>
      <c r="O9" s="589"/>
      <c r="P9" s="590"/>
      <c r="R9" s="591" t="s">
        <v>43</v>
      </c>
      <c r="S9" s="592"/>
      <c r="T9" s="593"/>
      <c r="U9" s="494" t="s">
        <v>309</v>
      </c>
      <c r="V9" s="495"/>
      <c r="W9" s="495"/>
      <c r="X9" s="495"/>
      <c r="Y9" s="496"/>
      <c r="Z9" s="33" t="s">
        <v>300</v>
      </c>
      <c r="AA9" s="32"/>
      <c r="AB9" s="32"/>
      <c r="AC9" s="21"/>
      <c r="AF9" s="21"/>
      <c r="AI9" s="21"/>
      <c r="AL9" s="21"/>
      <c r="AO9" s="21"/>
      <c r="AU9" s="315" t="s">
        <v>215</v>
      </c>
      <c r="AV9" s="315">
        <v>20</v>
      </c>
    </row>
    <row r="10" spans="1:52" ht="17.25" customHeight="1" thickBot="1">
      <c r="A10" s="603"/>
      <c r="B10" s="497" t="s">
        <v>255</v>
      </c>
      <c r="C10" s="498"/>
      <c r="D10" s="498"/>
      <c r="E10" s="499"/>
      <c r="F10" s="494" t="s">
        <v>256</v>
      </c>
      <c r="G10" s="495"/>
      <c r="H10" s="495"/>
      <c r="I10" s="495"/>
      <c r="J10" s="495"/>
      <c r="K10" s="495"/>
      <c r="L10" s="495"/>
      <c r="M10" s="495"/>
      <c r="N10" s="495"/>
      <c r="O10" s="495"/>
      <c r="P10" s="496"/>
      <c r="Z10" s="33"/>
      <c r="AA10" s="32"/>
      <c r="AB10" s="32"/>
      <c r="AC10" s="21"/>
      <c r="AF10" s="21"/>
      <c r="AI10" s="21"/>
      <c r="AL10" s="21"/>
      <c r="AO10" s="21"/>
    </row>
    <row r="11" spans="1:52" ht="6" customHeight="1" thickBot="1">
      <c r="A11" s="603"/>
      <c r="AC11" s="21"/>
      <c r="AF11" s="21"/>
      <c r="AI11" s="21"/>
      <c r="AL11" s="21"/>
      <c r="AO11" s="21"/>
    </row>
    <row r="12" spans="1:52" ht="31.5" customHeight="1" thickBot="1">
      <c r="A12" s="603"/>
      <c r="B12" s="574" t="s">
        <v>44</v>
      </c>
      <c r="C12" s="575"/>
      <c r="D12" s="576" t="s">
        <v>45</v>
      </c>
      <c r="E12" s="578" t="s">
        <v>46</v>
      </c>
      <c r="F12" s="579"/>
      <c r="G12" s="580"/>
      <c r="H12" s="581" t="s">
        <v>47</v>
      </c>
      <c r="I12" s="34"/>
      <c r="J12" s="35">
        <v>0.375</v>
      </c>
      <c r="K12" s="35">
        <v>0.75</v>
      </c>
      <c r="L12" s="35">
        <v>0.91666666666666663</v>
      </c>
      <c r="M12" s="35">
        <v>0.375</v>
      </c>
      <c r="N12" s="35">
        <v>0.73958333333333337</v>
      </c>
      <c r="O12" s="578" t="s">
        <v>48</v>
      </c>
      <c r="P12" s="580"/>
      <c r="Q12" s="578" t="s">
        <v>49</v>
      </c>
      <c r="R12" s="580"/>
      <c r="S12" s="36" t="s">
        <v>50</v>
      </c>
      <c r="T12" s="37" t="s">
        <v>51</v>
      </c>
      <c r="U12" s="581" t="s">
        <v>52</v>
      </c>
      <c r="V12" s="595" t="s">
        <v>236</v>
      </c>
      <c r="W12" s="596"/>
      <c r="X12" s="599" t="s">
        <v>53</v>
      </c>
      <c r="Y12" s="601" t="s">
        <v>128</v>
      </c>
      <c r="Z12" s="38"/>
      <c r="AA12" s="38"/>
      <c r="AB12" s="38"/>
      <c r="AC12" s="568" t="s">
        <v>54</v>
      </c>
      <c r="AD12" s="569"/>
      <c r="AE12" s="569"/>
      <c r="AF12" s="569"/>
      <c r="AG12" s="569"/>
      <c r="AH12" s="569"/>
      <c r="AI12" s="569"/>
      <c r="AJ12" s="569"/>
      <c r="AK12" s="569"/>
      <c r="AL12" s="569"/>
      <c r="AM12" s="569"/>
      <c r="AN12" s="569"/>
      <c r="AO12" s="569"/>
      <c r="AP12" s="569"/>
      <c r="AQ12" s="569"/>
      <c r="AR12" s="570"/>
      <c r="AS12" s="571" t="s">
        <v>55</v>
      </c>
    </row>
    <row r="13" spans="1:52" ht="30.75" customHeight="1" thickBot="1">
      <c r="A13" s="603"/>
      <c r="B13" s="39" t="s">
        <v>56</v>
      </c>
      <c r="C13" s="40" t="s">
        <v>57</v>
      </c>
      <c r="D13" s="577"/>
      <c r="E13" s="186" t="s">
        <v>58</v>
      </c>
      <c r="F13" s="187" t="s">
        <v>59</v>
      </c>
      <c r="G13" s="188" t="s">
        <v>60</v>
      </c>
      <c r="H13" s="582"/>
      <c r="I13" s="214" t="s">
        <v>61</v>
      </c>
      <c r="J13" s="214" t="s">
        <v>62</v>
      </c>
      <c r="K13" s="214" t="s">
        <v>62</v>
      </c>
      <c r="L13" s="214" t="s">
        <v>63</v>
      </c>
      <c r="M13" s="214" t="s">
        <v>64</v>
      </c>
      <c r="N13" s="214" t="s">
        <v>65</v>
      </c>
      <c r="O13" s="189" t="s">
        <v>66</v>
      </c>
      <c r="P13" s="190" t="s">
        <v>67</v>
      </c>
      <c r="Q13" s="189" t="s">
        <v>66</v>
      </c>
      <c r="R13" s="190" t="s">
        <v>67</v>
      </c>
      <c r="S13" s="41" t="s">
        <v>68</v>
      </c>
      <c r="T13" s="42" t="s">
        <v>69</v>
      </c>
      <c r="U13" s="594"/>
      <c r="V13" s="597"/>
      <c r="W13" s="598"/>
      <c r="X13" s="600"/>
      <c r="Y13" s="602"/>
      <c r="Z13" s="43"/>
      <c r="AA13" s="43"/>
      <c r="AB13" s="43"/>
      <c r="AC13" s="191" t="s">
        <v>70</v>
      </c>
      <c r="AD13" s="46" t="s">
        <v>71</v>
      </c>
      <c r="AE13" s="192" t="s">
        <v>72</v>
      </c>
      <c r="AF13" s="45" t="s">
        <v>70</v>
      </c>
      <c r="AG13" s="46" t="s">
        <v>71</v>
      </c>
      <c r="AH13" s="44" t="s">
        <v>72</v>
      </c>
      <c r="AI13" s="45" t="s">
        <v>70</v>
      </c>
      <c r="AJ13" s="46" t="s">
        <v>71</v>
      </c>
      <c r="AK13" s="44" t="s">
        <v>72</v>
      </c>
      <c r="AL13" s="45" t="s">
        <v>70</v>
      </c>
      <c r="AM13" s="46" t="s">
        <v>71</v>
      </c>
      <c r="AN13" s="44" t="s">
        <v>72</v>
      </c>
      <c r="AO13" s="45" t="s">
        <v>70</v>
      </c>
      <c r="AP13" s="46" t="s">
        <v>71</v>
      </c>
      <c r="AQ13" s="47" t="s">
        <v>72</v>
      </c>
      <c r="AR13" s="215" t="s">
        <v>73</v>
      </c>
      <c r="AS13" s="572"/>
      <c r="AU13" s="445" t="s">
        <v>268</v>
      </c>
      <c r="AV13" s="447" t="s">
        <v>264</v>
      </c>
      <c r="AW13" s="447" t="s">
        <v>265</v>
      </c>
      <c r="AX13" s="447" t="s">
        <v>266</v>
      </c>
      <c r="AY13" s="446" t="s">
        <v>267</v>
      </c>
      <c r="AZ13" s="446" t="s">
        <v>283</v>
      </c>
    </row>
    <row r="14" spans="1:52" ht="18" customHeight="1">
      <c r="A14" s="603"/>
      <c r="B14" s="48">
        <f>IF(H3="","",H3)</f>
        <v>46255</v>
      </c>
      <c r="C14" s="49" t="str">
        <f t="shared" ref="C14:C44" si="0">IF(B14="","",CHOOSE(WEEKDAY(B14),"日","月","火","水","木","金","土"))</f>
        <v>金</v>
      </c>
      <c r="D14" s="216"/>
      <c r="E14" s="194"/>
      <c r="F14" s="194"/>
      <c r="G14" s="194"/>
      <c r="H14" s="217"/>
      <c r="I14" s="218"/>
      <c r="J14" s="218"/>
      <c r="K14" s="218"/>
      <c r="L14" s="218"/>
      <c r="M14" s="218"/>
      <c r="N14" s="218"/>
      <c r="O14" s="348"/>
      <c r="P14" s="349"/>
      <c r="Q14" s="348"/>
      <c r="R14" s="349"/>
      <c r="S14" s="219"/>
      <c r="T14" s="350"/>
      <c r="U14" s="351"/>
      <c r="V14" s="586"/>
      <c r="W14" s="587"/>
      <c r="X14" s="220"/>
      <c r="Y14" s="221"/>
      <c r="Z14" s="50"/>
      <c r="AA14" s="50"/>
      <c r="AB14" s="50"/>
      <c r="AC14" s="247"/>
      <c r="AD14" s="327"/>
      <c r="AE14" s="328"/>
      <c r="AF14" s="329"/>
      <c r="AG14" s="327"/>
      <c r="AH14" s="330"/>
      <c r="AI14" s="329"/>
      <c r="AJ14" s="327"/>
      <c r="AK14" s="330"/>
      <c r="AL14" s="329"/>
      <c r="AM14" s="327"/>
      <c r="AN14" s="330"/>
      <c r="AO14" s="329"/>
      <c r="AP14" s="327"/>
      <c r="AQ14" s="331"/>
      <c r="AR14" s="479">
        <f>SUM(AE14,AH14,AK14,AN14,AQ14)</f>
        <v>0</v>
      </c>
      <c r="AS14" s="222" t="str">
        <f t="shared" ref="AS14:AS44" si="1">IF(AR14=SUM($H14,$O14,$P14,$Q14,$R14,-$U14,-$T14),"合","不")</f>
        <v>合</v>
      </c>
      <c r="AU14" s="320"/>
      <c r="AV14" s="448"/>
      <c r="AW14" s="448"/>
      <c r="AX14" s="448"/>
      <c r="AY14" s="321"/>
      <c r="AZ14" s="321"/>
    </row>
    <row r="15" spans="1:52" ht="18" customHeight="1">
      <c r="A15" s="603"/>
      <c r="B15" s="51">
        <f t="shared" ref="B15:B44" si="2">IF(B14="","",IF(B14+1&gt;Q$3,"",B14+1))</f>
        <v>46256</v>
      </c>
      <c r="C15" s="52" t="str">
        <f t="shared" si="0"/>
        <v>土</v>
      </c>
      <c r="D15" s="193" t="s">
        <v>315</v>
      </c>
      <c r="E15" s="55"/>
      <c r="F15" s="55"/>
      <c r="G15" s="55"/>
      <c r="H15" s="223"/>
      <c r="I15" s="195"/>
      <c r="J15" s="195"/>
      <c r="K15" s="195"/>
      <c r="L15" s="195"/>
      <c r="M15" s="195"/>
      <c r="N15" s="195"/>
      <c r="O15" s="352"/>
      <c r="P15" s="353"/>
      <c r="Q15" s="352"/>
      <c r="R15" s="353"/>
      <c r="S15" s="354"/>
      <c r="T15" s="355"/>
      <c r="U15" s="356"/>
      <c r="V15" s="553"/>
      <c r="W15" s="573"/>
      <c r="X15" s="224"/>
      <c r="Y15" s="225"/>
      <c r="Z15" s="53"/>
      <c r="AA15" s="53"/>
      <c r="AB15" s="53"/>
      <c r="AC15" s="247"/>
      <c r="AD15" s="332"/>
      <c r="AE15" s="333"/>
      <c r="AF15" s="334"/>
      <c r="AG15" s="332"/>
      <c r="AH15" s="335"/>
      <c r="AI15" s="334"/>
      <c r="AJ15" s="332"/>
      <c r="AK15" s="335"/>
      <c r="AL15" s="334"/>
      <c r="AM15" s="332"/>
      <c r="AN15" s="335"/>
      <c r="AO15" s="334"/>
      <c r="AP15" s="332"/>
      <c r="AQ15" s="336"/>
      <c r="AR15" s="480">
        <f t="shared" ref="AR15:AR55" si="3">SUM(AE15,AH15,AK15,AN15,AQ15)</f>
        <v>0</v>
      </c>
      <c r="AS15" s="54" t="str">
        <f t="shared" si="1"/>
        <v>合</v>
      </c>
      <c r="AU15" s="322"/>
      <c r="AV15" s="449"/>
      <c r="AW15" s="449"/>
      <c r="AX15" s="449"/>
      <c r="AY15" s="323"/>
      <c r="AZ15" s="323"/>
    </row>
    <row r="16" spans="1:52" ht="18" customHeight="1">
      <c r="A16" s="603"/>
      <c r="B16" s="51">
        <f t="shared" si="2"/>
        <v>46257</v>
      </c>
      <c r="C16" s="52" t="str">
        <f t="shared" si="0"/>
        <v>日</v>
      </c>
      <c r="D16" s="193" t="s">
        <v>315</v>
      </c>
      <c r="E16" s="55"/>
      <c r="F16" s="55"/>
      <c r="G16" s="55"/>
      <c r="H16" s="223"/>
      <c r="I16" s="195"/>
      <c r="J16" s="195"/>
      <c r="K16" s="195"/>
      <c r="L16" s="195"/>
      <c r="M16" s="195"/>
      <c r="N16" s="195"/>
      <c r="O16" s="352"/>
      <c r="P16" s="353"/>
      <c r="Q16" s="352"/>
      <c r="R16" s="353"/>
      <c r="S16" s="354"/>
      <c r="T16" s="355"/>
      <c r="U16" s="356"/>
      <c r="V16" s="553"/>
      <c r="W16" s="554"/>
      <c r="X16" s="224"/>
      <c r="Y16" s="225"/>
      <c r="Z16" s="53"/>
      <c r="AA16" s="53"/>
      <c r="AB16" s="53"/>
      <c r="AC16" s="247"/>
      <c r="AD16" s="332"/>
      <c r="AE16" s="333"/>
      <c r="AF16" s="334"/>
      <c r="AG16" s="332"/>
      <c r="AH16" s="335"/>
      <c r="AI16" s="334"/>
      <c r="AJ16" s="332"/>
      <c r="AK16" s="335"/>
      <c r="AL16" s="334"/>
      <c r="AM16" s="332"/>
      <c r="AN16" s="335"/>
      <c r="AO16" s="334"/>
      <c r="AP16" s="332"/>
      <c r="AQ16" s="336"/>
      <c r="AR16" s="480">
        <f t="shared" si="3"/>
        <v>0</v>
      </c>
      <c r="AS16" s="54" t="str">
        <f t="shared" si="1"/>
        <v>合</v>
      </c>
      <c r="AU16" s="322"/>
      <c r="AV16" s="449"/>
      <c r="AW16" s="449"/>
      <c r="AX16" s="449"/>
      <c r="AY16" s="323"/>
      <c r="AZ16" s="323"/>
    </row>
    <row r="17" spans="1:52" ht="18" customHeight="1">
      <c r="A17" s="603"/>
      <c r="B17" s="51">
        <f t="shared" si="2"/>
        <v>46258</v>
      </c>
      <c r="C17" s="52" t="str">
        <f t="shared" si="0"/>
        <v>月</v>
      </c>
      <c r="D17" s="193"/>
      <c r="E17" s="55"/>
      <c r="F17" s="55"/>
      <c r="G17" s="55"/>
      <c r="H17" s="223"/>
      <c r="I17" s="195"/>
      <c r="J17" s="195"/>
      <c r="K17" s="195"/>
      <c r="L17" s="195"/>
      <c r="M17" s="195"/>
      <c r="N17" s="195"/>
      <c r="O17" s="352"/>
      <c r="P17" s="353"/>
      <c r="Q17" s="352"/>
      <c r="R17" s="353"/>
      <c r="S17" s="354"/>
      <c r="T17" s="355"/>
      <c r="U17" s="356"/>
      <c r="V17" s="553"/>
      <c r="W17" s="554"/>
      <c r="X17" s="224"/>
      <c r="Y17" s="225"/>
      <c r="Z17" s="53"/>
      <c r="AA17" s="53"/>
      <c r="AB17" s="53"/>
      <c r="AC17" s="247"/>
      <c r="AD17" s="332"/>
      <c r="AE17" s="333"/>
      <c r="AF17" s="334"/>
      <c r="AG17" s="332"/>
      <c r="AH17" s="335"/>
      <c r="AI17" s="334"/>
      <c r="AJ17" s="332"/>
      <c r="AK17" s="335"/>
      <c r="AL17" s="334"/>
      <c r="AM17" s="332"/>
      <c r="AN17" s="335"/>
      <c r="AO17" s="334"/>
      <c r="AP17" s="332"/>
      <c r="AQ17" s="336"/>
      <c r="AR17" s="480">
        <f t="shared" si="3"/>
        <v>0</v>
      </c>
      <c r="AS17" s="54" t="str">
        <f t="shared" si="1"/>
        <v>合</v>
      </c>
      <c r="AU17" s="322"/>
      <c r="AV17" s="449"/>
      <c r="AW17" s="449"/>
      <c r="AX17" s="449"/>
      <c r="AY17" s="323"/>
      <c r="AZ17" s="323"/>
    </row>
    <row r="18" spans="1:52" ht="18" customHeight="1">
      <c r="A18" s="603"/>
      <c r="B18" s="51">
        <f t="shared" si="2"/>
        <v>46259</v>
      </c>
      <c r="C18" s="52" t="str">
        <f t="shared" si="0"/>
        <v>火</v>
      </c>
      <c r="D18" s="193"/>
      <c r="E18" s="55"/>
      <c r="F18" s="55"/>
      <c r="G18" s="55"/>
      <c r="H18" s="223"/>
      <c r="I18" s="195"/>
      <c r="J18" s="195"/>
      <c r="K18" s="195"/>
      <c r="L18" s="195"/>
      <c r="M18" s="195"/>
      <c r="N18" s="195"/>
      <c r="O18" s="352"/>
      <c r="P18" s="353"/>
      <c r="Q18" s="352"/>
      <c r="R18" s="353"/>
      <c r="S18" s="354"/>
      <c r="T18" s="355"/>
      <c r="U18" s="356"/>
      <c r="V18" s="553"/>
      <c r="W18" s="554"/>
      <c r="X18" s="224"/>
      <c r="Y18" s="225"/>
      <c r="Z18" s="53"/>
      <c r="AA18" s="53"/>
      <c r="AB18" s="53"/>
      <c r="AC18" s="247"/>
      <c r="AD18" s="332"/>
      <c r="AE18" s="333"/>
      <c r="AF18" s="334"/>
      <c r="AG18" s="332"/>
      <c r="AH18" s="333"/>
      <c r="AI18" s="334"/>
      <c r="AJ18" s="332"/>
      <c r="AK18" s="335"/>
      <c r="AL18" s="334"/>
      <c r="AM18" s="332"/>
      <c r="AN18" s="335"/>
      <c r="AO18" s="334"/>
      <c r="AP18" s="332"/>
      <c r="AQ18" s="335"/>
      <c r="AR18" s="480">
        <f t="shared" si="3"/>
        <v>0</v>
      </c>
      <c r="AS18" s="54" t="str">
        <f t="shared" si="1"/>
        <v>合</v>
      </c>
      <c r="AU18" s="322"/>
      <c r="AV18" s="449"/>
      <c r="AW18" s="449"/>
      <c r="AX18" s="449"/>
      <c r="AY18" s="323"/>
      <c r="AZ18" s="323"/>
    </row>
    <row r="19" spans="1:52" ht="18" customHeight="1">
      <c r="A19" s="603"/>
      <c r="B19" s="51">
        <f t="shared" si="2"/>
        <v>46260</v>
      </c>
      <c r="C19" s="52" t="str">
        <f t="shared" si="0"/>
        <v>水</v>
      </c>
      <c r="D19" s="193"/>
      <c r="E19" s="55"/>
      <c r="F19" s="55"/>
      <c r="G19" s="55"/>
      <c r="H19" s="223"/>
      <c r="I19" s="195"/>
      <c r="J19" s="195"/>
      <c r="K19" s="195"/>
      <c r="L19" s="195"/>
      <c r="M19" s="195"/>
      <c r="N19" s="195"/>
      <c r="O19" s="352"/>
      <c r="P19" s="353"/>
      <c r="Q19" s="352"/>
      <c r="R19" s="353"/>
      <c r="S19" s="354"/>
      <c r="T19" s="355"/>
      <c r="U19" s="356"/>
      <c r="V19" s="553"/>
      <c r="W19" s="554"/>
      <c r="X19" s="224"/>
      <c r="Y19" s="225"/>
      <c r="Z19" s="53"/>
      <c r="AA19" s="53"/>
      <c r="AB19" s="53"/>
      <c r="AC19" s="247"/>
      <c r="AD19" s="332"/>
      <c r="AE19" s="333"/>
      <c r="AF19" s="334"/>
      <c r="AG19" s="332"/>
      <c r="AH19" s="335"/>
      <c r="AI19" s="334"/>
      <c r="AJ19" s="332"/>
      <c r="AK19" s="335"/>
      <c r="AL19" s="334"/>
      <c r="AM19" s="332"/>
      <c r="AN19" s="335"/>
      <c r="AO19" s="334"/>
      <c r="AP19" s="332"/>
      <c r="AQ19" s="336"/>
      <c r="AR19" s="480">
        <f t="shared" si="3"/>
        <v>0</v>
      </c>
      <c r="AS19" s="54" t="str">
        <f t="shared" si="1"/>
        <v>合</v>
      </c>
      <c r="AU19" s="322"/>
      <c r="AV19" s="449"/>
      <c r="AW19" s="449"/>
      <c r="AX19" s="449"/>
      <c r="AY19" s="323"/>
      <c r="AZ19" s="323"/>
    </row>
    <row r="20" spans="1:52" ht="18" customHeight="1">
      <c r="A20" s="603"/>
      <c r="B20" s="51">
        <f t="shared" si="2"/>
        <v>46261</v>
      </c>
      <c r="C20" s="52" t="str">
        <f t="shared" si="0"/>
        <v>木</v>
      </c>
      <c r="D20" s="193"/>
      <c r="E20" s="55"/>
      <c r="F20" s="55"/>
      <c r="G20" s="55"/>
      <c r="H20" s="223"/>
      <c r="I20" s="195"/>
      <c r="J20" s="195"/>
      <c r="K20" s="195"/>
      <c r="L20" s="195"/>
      <c r="M20" s="195"/>
      <c r="N20" s="195"/>
      <c r="O20" s="352"/>
      <c r="P20" s="353"/>
      <c r="Q20" s="352"/>
      <c r="R20" s="353"/>
      <c r="S20" s="354"/>
      <c r="T20" s="355"/>
      <c r="U20" s="356"/>
      <c r="V20" s="553"/>
      <c r="W20" s="554"/>
      <c r="X20" s="224"/>
      <c r="Y20" s="225"/>
      <c r="Z20" s="53"/>
      <c r="AA20" s="53"/>
      <c r="AB20" s="53"/>
      <c r="AC20" s="247"/>
      <c r="AD20" s="332"/>
      <c r="AE20" s="333"/>
      <c r="AF20" s="334"/>
      <c r="AG20" s="332"/>
      <c r="AH20" s="335"/>
      <c r="AI20" s="334"/>
      <c r="AJ20" s="332"/>
      <c r="AK20" s="335"/>
      <c r="AL20" s="334"/>
      <c r="AM20" s="332"/>
      <c r="AN20" s="335"/>
      <c r="AO20" s="334"/>
      <c r="AP20" s="332"/>
      <c r="AQ20" s="336"/>
      <c r="AR20" s="480">
        <f t="shared" si="3"/>
        <v>0</v>
      </c>
      <c r="AS20" s="54" t="str">
        <f t="shared" si="1"/>
        <v>合</v>
      </c>
      <c r="AU20" s="322"/>
      <c r="AV20" s="449"/>
      <c r="AW20" s="449"/>
      <c r="AX20" s="449"/>
      <c r="AY20" s="323"/>
      <c r="AZ20" s="323"/>
    </row>
    <row r="21" spans="1:52" ht="18" customHeight="1">
      <c r="A21" s="603"/>
      <c r="B21" s="51">
        <f t="shared" si="2"/>
        <v>46262</v>
      </c>
      <c r="C21" s="52" t="str">
        <f t="shared" si="0"/>
        <v>金</v>
      </c>
      <c r="D21" s="193"/>
      <c r="E21" s="55"/>
      <c r="F21" s="55"/>
      <c r="G21" s="55"/>
      <c r="H21" s="223"/>
      <c r="I21" s="195"/>
      <c r="J21" s="195"/>
      <c r="K21" s="195"/>
      <c r="L21" s="195"/>
      <c r="M21" s="195"/>
      <c r="N21" s="195"/>
      <c r="O21" s="352"/>
      <c r="P21" s="353"/>
      <c r="Q21" s="352"/>
      <c r="R21" s="353"/>
      <c r="S21" s="354"/>
      <c r="T21" s="355"/>
      <c r="U21" s="356"/>
      <c r="V21" s="553"/>
      <c r="W21" s="554"/>
      <c r="X21" s="224"/>
      <c r="Y21" s="225"/>
      <c r="Z21" s="53"/>
      <c r="AA21" s="53"/>
      <c r="AB21" s="53"/>
      <c r="AC21" s="247"/>
      <c r="AD21" s="332"/>
      <c r="AE21" s="333"/>
      <c r="AF21" s="334"/>
      <c r="AG21" s="332"/>
      <c r="AH21" s="335"/>
      <c r="AI21" s="334"/>
      <c r="AJ21" s="332"/>
      <c r="AK21" s="335"/>
      <c r="AL21" s="334"/>
      <c r="AM21" s="332"/>
      <c r="AN21" s="335"/>
      <c r="AO21" s="334"/>
      <c r="AP21" s="332"/>
      <c r="AQ21" s="336"/>
      <c r="AR21" s="480">
        <f t="shared" ref="AR21:AR25" si="4">SUM(AE21,AH21,AK21,AN21,AQ21)</f>
        <v>0</v>
      </c>
      <c r="AS21" s="54" t="str">
        <f t="shared" ref="AS21:AS25" si="5">IF(AR21=SUM($H21,$O21,$P21,$Q21,$R21,-$U21,-$T21),"合","不")</f>
        <v>合</v>
      </c>
      <c r="AU21" s="322"/>
      <c r="AV21" s="449"/>
      <c r="AW21" s="449"/>
      <c r="AX21" s="449"/>
      <c r="AY21" s="323"/>
      <c r="AZ21" s="323"/>
    </row>
    <row r="22" spans="1:52" ht="18" customHeight="1">
      <c r="A22" s="603"/>
      <c r="B22" s="51">
        <f t="shared" si="2"/>
        <v>46263</v>
      </c>
      <c r="C22" s="52" t="str">
        <f t="shared" si="0"/>
        <v>土</v>
      </c>
      <c r="D22" s="193" t="s">
        <v>315</v>
      </c>
      <c r="E22" s="55"/>
      <c r="F22" s="55"/>
      <c r="G22" s="55"/>
      <c r="H22" s="223"/>
      <c r="I22" s="195"/>
      <c r="J22" s="195"/>
      <c r="K22" s="195"/>
      <c r="L22" s="195"/>
      <c r="M22" s="195"/>
      <c r="N22" s="195"/>
      <c r="O22" s="352"/>
      <c r="P22" s="353"/>
      <c r="Q22" s="352"/>
      <c r="R22" s="353"/>
      <c r="S22" s="354"/>
      <c r="T22" s="355"/>
      <c r="U22" s="356"/>
      <c r="V22" s="553"/>
      <c r="W22" s="554"/>
      <c r="X22" s="224"/>
      <c r="Y22" s="225"/>
      <c r="Z22" s="53"/>
      <c r="AA22" s="53"/>
      <c r="AB22" s="53"/>
      <c r="AC22" s="247"/>
      <c r="AD22" s="332"/>
      <c r="AE22" s="333"/>
      <c r="AF22" s="334"/>
      <c r="AG22" s="332"/>
      <c r="AH22" s="335"/>
      <c r="AI22" s="334"/>
      <c r="AJ22" s="332"/>
      <c r="AK22" s="335"/>
      <c r="AL22" s="334"/>
      <c r="AM22" s="332"/>
      <c r="AN22" s="335"/>
      <c r="AO22" s="334"/>
      <c r="AP22" s="332"/>
      <c r="AQ22" s="336"/>
      <c r="AR22" s="480">
        <f t="shared" si="4"/>
        <v>0</v>
      </c>
      <c r="AS22" s="54" t="str">
        <f t="shared" si="5"/>
        <v>合</v>
      </c>
      <c r="AU22" s="322"/>
      <c r="AV22" s="449"/>
      <c r="AW22" s="449"/>
      <c r="AX22" s="449"/>
      <c r="AY22" s="323"/>
      <c r="AZ22" s="323"/>
    </row>
    <row r="23" spans="1:52" ht="18" customHeight="1">
      <c r="A23" s="603"/>
      <c r="B23" s="51">
        <f t="shared" si="2"/>
        <v>46264</v>
      </c>
      <c r="C23" s="52" t="str">
        <f t="shared" si="0"/>
        <v>日</v>
      </c>
      <c r="D23" s="193" t="s">
        <v>315</v>
      </c>
      <c r="E23" s="55"/>
      <c r="F23" s="55"/>
      <c r="G23" s="55"/>
      <c r="H23" s="223"/>
      <c r="I23" s="195"/>
      <c r="J23" s="195"/>
      <c r="K23" s="195"/>
      <c r="L23" s="195"/>
      <c r="M23" s="195"/>
      <c r="N23" s="195"/>
      <c r="O23" s="352"/>
      <c r="P23" s="353"/>
      <c r="Q23" s="352"/>
      <c r="R23" s="353"/>
      <c r="S23" s="354"/>
      <c r="T23" s="355"/>
      <c r="U23" s="356"/>
      <c r="V23" s="553"/>
      <c r="W23" s="554"/>
      <c r="X23" s="224"/>
      <c r="Y23" s="225"/>
      <c r="Z23" s="53"/>
      <c r="AA23" s="53"/>
      <c r="AB23" s="53"/>
      <c r="AC23" s="247"/>
      <c r="AD23" s="337"/>
      <c r="AE23" s="338"/>
      <c r="AF23" s="339"/>
      <c r="AG23" s="337"/>
      <c r="AH23" s="340"/>
      <c r="AI23" s="339"/>
      <c r="AJ23" s="337"/>
      <c r="AK23" s="340"/>
      <c r="AL23" s="339"/>
      <c r="AM23" s="337"/>
      <c r="AN23" s="340"/>
      <c r="AO23" s="339"/>
      <c r="AP23" s="337"/>
      <c r="AQ23" s="341"/>
      <c r="AR23" s="480">
        <f t="shared" si="4"/>
        <v>0</v>
      </c>
      <c r="AS23" s="54" t="str">
        <f t="shared" si="5"/>
        <v>合</v>
      </c>
      <c r="AU23" s="322"/>
      <c r="AV23" s="449"/>
      <c r="AW23" s="449"/>
      <c r="AX23" s="449"/>
      <c r="AY23" s="323"/>
      <c r="AZ23" s="323"/>
    </row>
    <row r="24" spans="1:52" ht="18" customHeight="1">
      <c r="A24" s="603"/>
      <c r="B24" s="51">
        <f t="shared" si="2"/>
        <v>46265</v>
      </c>
      <c r="C24" s="52" t="str">
        <f t="shared" si="0"/>
        <v>月</v>
      </c>
      <c r="D24" s="193"/>
      <c r="E24" s="55"/>
      <c r="F24" s="55"/>
      <c r="G24" s="55"/>
      <c r="H24" s="223"/>
      <c r="I24" s="195"/>
      <c r="J24" s="195"/>
      <c r="K24" s="195"/>
      <c r="L24" s="195"/>
      <c r="M24" s="195"/>
      <c r="N24" s="195"/>
      <c r="O24" s="352"/>
      <c r="P24" s="353"/>
      <c r="Q24" s="352"/>
      <c r="R24" s="353"/>
      <c r="S24" s="354"/>
      <c r="T24" s="355"/>
      <c r="U24" s="356"/>
      <c r="V24" s="553"/>
      <c r="W24" s="554"/>
      <c r="X24" s="224"/>
      <c r="Y24" s="225"/>
      <c r="Z24" s="53"/>
      <c r="AA24" s="53"/>
      <c r="AB24" s="53"/>
      <c r="AC24" s="247"/>
      <c r="AD24" s="332"/>
      <c r="AE24" s="333"/>
      <c r="AF24" s="334"/>
      <c r="AG24" s="332"/>
      <c r="AH24" s="335"/>
      <c r="AI24" s="334"/>
      <c r="AJ24" s="332"/>
      <c r="AK24" s="335"/>
      <c r="AL24" s="334"/>
      <c r="AM24" s="332"/>
      <c r="AN24" s="335"/>
      <c r="AO24" s="334"/>
      <c r="AP24" s="332"/>
      <c r="AQ24" s="336"/>
      <c r="AR24" s="480">
        <f t="shared" si="4"/>
        <v>0</v>
      </c>
      <c r="AS24" s="54" t="str">
        <f t="shared" si="5"/>
        <v>合</v>
      </c>
      <c r="AU24" s="322"/>
      <c r="AV24" s="449"/>
      <c r="AW24" s="449"/>
      <c r="AX24" s="449"/>
      <c r="AY24" s="323"/>
      <c r="AZ24" s="323"/>
    </row>
    <row r="25" spans="1:52" ht="18" customHeight="1">
      <c r="A25" s="603"/>
      <c r="B25" s="51">
        <f t="shared" si="2"/>
        <v>46266</v>
      </c>
      <c r="C25" s="52" t="str">
        <f t="shared" si="0"/>
        <v>火</v>
      </c>
      <c r="D25" s="193"/>
      <c r="E25" s="55"/>
      <c r="F25" s="55"/>
      <c r="G25" s="55"/>
      <c r="H25" s="223">
        <v>7.75</v>
      </c>
      <c r="I25" s="195"/>
      <c r="J25" s="195"/>
      <c r="K25" s="195"/>
      <c r="L25" s="195"/>
      <c r="M25" s="195"/>
      <c r="N25" s="195"/>
      <c r="O25" s="352" t="str">
        <f t="shared" ref="O25:O44" si="6">IF(AV25&lt;&gt;"",HOUR(AV25)+MINUTE(AV25)/60,"")</f>
        <v/>
      </c>
      <c r="P25" s="353" t="str">
        <f t="shared" ref="P25:P44" si="7">IF(AW25&lt;&gt;"",HOUR(AW25)+MINUTE(AW25)/60,"")</f>
        <v/>
      </c>
      <c r="Q25" s="352" t="str">
        <f t="shared" ref="Q25:Q44" si="8">IF(AX25&lt;&gt;"",HOUR(AX25)+MINUTE(AX25)/60,"")</f>
        <v/>
      </c>
      <c r="R25" s="353" t="str">
        <f t="shared" ref="R25:R44" si="9">IF(AY25&lt;&gt;"",HOUR(AY25)+MINUTE(AY25)/60,"")</f>
        <v/>
      </c>
      <c r="S25" s="354"/>
      <c r="T25" s="355"/>
      <c r="U25" s="356">
        <v>7.75</v>
      </c>
      <c r="V25" s="553" t="s">
        <v>314</v>
      </c>
      <c r="W25" s="554"/>
      <c r="X25" s="224"/>
      <c r="Y25" s="225" t="s">
        <v>330</v>
      </c>
      <c r="Z25" s="53"/>
      <c r="AA25" s="53"/>
      <c r="AB25" s="53"/>
      <c r="AC25" s="247"/>
      <c r="AD25" s="332"/>
      <c r="AE25" s="333"/>
      <c r="AF25" s="334"/>
      <c r="AG25" s="332"/>
      <c r="AH25" s="335"/>
      <c r="AI25" s="334"/>
      <c r="AJ25" s="332"/>
      <c r="AK25" s="335"/>
      <c r="AL25" s="334"/>
      <c r="AM25" s="332"/>
      <c r="AN25" s="335"/>
      <c r="AO25" s="334"/>
      <c r="AP25" s="332"/>
      <c r="AQ25" s="336"/>
      <c r="AR25" s="480">
        <f t="shared" si="4"/>
        <v>0</v>
      </c>
      <c r="AS25" s="54" t="str">
        <f t="shared" si="5"/>
        <v>合</v>
      </c>
      <c r="AU25" s="322" t="str">
        <f t="shared" ref="AU25:AU37" si="10">IF(AND(F25&lt;&gt;"",E25&lt;&gt;"",G25&lt;&gt;""),F25-E25-G25,"")</f>
        <v/>
      </c>
      <c r="AV25" s="449" t="str">
        <f t="shared" ref="AV25:AV44" si="11">IF(AND(D25="",AU25&lt;&gt;""),IF(F25&gt;$AZ25,IF(F25&gt;$AV$3,$AV$3-$AZ25,F25-$AZ25),""),"")</f>
        <v/>
      </c>
      <c r="AW25" s="449" t="str">
        <f t="shared" ref="AW25:AW44" si="12">IF(AND(D25="",F25&gt;$AV$4),F25-$AV$4,"")</f>
        <v/>
      </c>
      <c r="AX25" s="449" t="str">
        <f t="shared" ref="AX25:AX44" si="13">IF(AND(D25="*",AU25&lt;&gt;""),AU25-IF(AY25&lt;&gt;"",AY25,0),"")</f>
        <v/>
      </c>
      <c r="AY25" s="323" t="str">
        <f t="shared" ref="AY25:AY44" si="14">IF(AND(D25="*",F25&gt;$AV$4),F25-$AV$4,"")</f>
        <v/>
      </c>
      <c r="AZ25" s="323">
        <f t="shared" ref="AZ25:AZ44" si="15">IF(X25="B",$AW$2,IF(X25="C",$AX$2,$AV$2))</f>
        <v>0.75</v>
      </c>
    </row>
    <row r="26" spans="1:52" ht="18" customHeight="1">
      <c r="A26" s="603"/>
      <c r="B26" s="51">
        <f t="shared" si="2"/>
        <v>46267</v>
      </c>
      <c r="C26" s="52" t="str">
        <f t="shared" si="0"/>
        <v>水</v>
      </c>
      <c r="D26" s="193"/>
      <c r="E26" s="55">
        <v>0.375</v>
      </c>
      <c r="F26" s="55">
        <v>0.73958333333333337</v>
      </c>
      <c r="G26" s="55">
        <v>4.1666666666666664E-2</v>
      </c>
      <c r="H26" s="223">
        <v>7.75</v>
      </c>
      <c r="I26" s="195"/>
      <c r="J26" s="195"/>
      <c r="K26" s="195"/>
      <c r="L26" s="195"/>
      <c r="M26" s="195"/>
      <c r="N26" s="195"/>
      <c r="O26" s="352" t="str">
        <f t="shared" si="6"/>
        <v/>
      </c>
      <c r="P26" s="353" t="str">
        <f t="shared" si="7"/>
        <v/>
      </c>
      <c r="Q26" s="352" t="str">
        <f t="shared" si="8"/>
        <v/>
      </c>
      <c r="R26" s="353" t="str">
        <f t="shared" si="9"/>
        <v/>
      </c>
      <c r="S26" s="354"/>
      <c r="T26" s="355"/>
      <c r="U26" s="356"/>
      <c r="V26" s="553" t="s">
        <v>317</v>
      </c>
      <c r="W26" s="554"/>
      <c r="X26" s="224"/>
      <c r="Y26" s="225" t="s">
        <v>330</v>
      </c>
      <c r="Z26" s="53"/>
      <c r="AA26" s="53"/>
      <c r="AB26" s="53"/>
      <c r="AC26" s="247">
        <v>387605022</v>
      </c>
      <c r="AD26" s="332" t="s">
        <v>316</v>
      </c>
      <c r="AE26" s="333">
        <f>SUM(H26,O26:R26)-SUM(T26:U26,AH26,AK26,AN26,AQ26)</f>
        <v>7.75</v>
      </c>
      <c r="AF26" s="334"/>
      <c r="AG26" s="332"/>
      <c r="AH26" s="335"/>
      <c r="AI26" s="334"/>
      <c r="AJ26" s="332"/>
      <c r="AK26" s="335"/>
      <c r="AL26" s="334"/>
      <c r="AM26" s="332"/>
      <c r="AN26" s="335"/>
      <c r="AO26" s="339"/>
      <c r="AP26" s="337"/>
      <c r="AQ26" s="336"/>
      <c r="AR26" s="480">
        <f t="shared" si="3"/>
        <v>7.75</v>
      </c>
      <c r="AS26" s="54" t="str">
        <f t="shared" si="1"/>
        <v>合</v>
      </c>
      <c r="AU26" s="322">
        <f t="shared" si="10"/>
        <v>0.32291666666666669</v>
      </c>
      <c r="AV26" s="449" t="str">
        <f t="shared" si="11"/>
        <v/>
      </c>
      <c r="AW26" s="449" t="str">
        <f t="shared" si="12"/>
        <v/>
      </c>
      <c r="AX26" s="449" t="str">
        <f t="shared" si="13"/>
        <v/>
      </c>
      <c r="AY26" s="323" t="str">
        <f t="shared" si="14"/>
        <v/>
      </c>
      <c r="AZ26" s="323">
        <f t="shared" si="15"/>
        <v>0.75</v>
      </c>
    </row>
    <row r="27" spans="1:52" ht="18" customHeight="1">
      <c r="A27" s="603"/>
      <c r="B27" s="51">
        <f t="shared" si="2"/>
        <v>46268</v>
      </c>
      <c r="C27" s="52" t="str">
        <f t="shared" si="0"/>
        <v>木</v>
      </c>
      <c r="D27" s="193"/>
      <c r="E27" s="55">
        <v>0.375</v>
      </c>
      <c r="F27" s="55">
        <v>0.73958333333333337</v>
      </c>
      <c r="G27" s="55">
        <v>4.1666666666666664E-2</v>
      </c>
      <c r="H27" s="223">
        <v>7.75</v>
      </c>
      <c r="I27" s="195"/>
      <c r="J27" s="195"/>
      <c r="K27" s="195"/>
      <c r="L27" s="195"/>
      <c r="M27" s="195"/>
      <c r="N27" s="195"/>
      <c r="O27" s="352" t="str">
        <f t="shared" si="6"/>
        <v/>
      </c>
      <c r="P27" s="353" t="str">
        <f t="shared" si="7"/>
        <v/>
      </c>
      <c r="Q27" s="352" t="str">
        <f t="shared" si="8"/>
        <v/>
      </c>
      <c r="R27" s="353" t="str">
        <f t="shared" si="9"/>
        <v/>
      </c>
      <c r="S27" s="354">
        <f>IF(E27="","",SUM($O$14:O27)+SUM($P$14:P27)+SUM($Q$14:Q27)+SUM($R$14:R27))</f>
        <v>0</v>
      </c>
      <c r="T27" s="355"/>
      <c r="U27" s="356"/>
      <c r="V27" s="553" t="s">
        <v>318</v>
      </c>
      <c r="W27" s="554"/>
      <c r="X27" s="224"/>
      <c r="Y27" s="225" t="s">
        <v>330</v>
      </c>
      <c r="Z27" s="53"/>
      <c r="AA27" s="53"/>
      <c r="AB27" s="53"/>
      <c r="AC27" s="247">
        <v>387605022</v>
      </c>
      <c r="AD27" s="332" t="s">
        <v>316</v>
      </c>
      <c r="AE27" s="333">
        <f>SUM(H27,O27:R27)-SUM(T27:U27,AH27,AK27,AN27,AQ27)</f>
        <v>7.75</v>
      </c>
      <c r="AF27" s="339"/>
      <c r="AG27" s="337"/>
      <c r="AH27" s="335"/>
      <c r="AI27" s="334"/>
      <c r="AJ27" s="332"/>
      <c r="AK27" s="335"/>
      <c r="AL27" s="334"/>
      <c r="AM27" s="332"/>
      <c r="AN27" s="335"/>
      <c r="AO27" s="339"/>
      <c r="AP27" s="337"/>
      <c r="AQ27" s="336"/>
      <c r="AR27" s="480">
        <f t="shared" si="3"/>
        <v>7.75</v>
      </c>
      <c r="AS27" s="54" t="str">
        <f t="shared" si="1"/>
        <v>合</v>
      </c>
      <c r="AU27" s="322">
        <f t="shared" si="10"/>
        <v>0.32291666666666669</v>
      </c>
      <c r="AV27" s="449" t="str">
        <f t="shared" si="11"/>
        <v/>
      </c>
      <c r="AW27" s="449" t="str">
        <f t="shared" si="12"/>
        <v/>
      </c>
      <c r="AX27" s="449" t="str">
        <f t="shared" si="13"/>
        <v/>
      </c>
      <c r="AY27" s="323" t="str">
        <f t="shared" si="14"/>
        <v/>
      </c>
      <c r="AZ27" s="323">
        <f t="shared" si="15"/>
        <v>0.75</v>
      </c>
    </row>
    <row r="28" spans="1:52" ht="18" customHeight="1">
      <c r="A28" s="603"/>
      <c r="B28" s="51">
        <f t="shared" si="2"/>
        <v>46269</v>
      </c>
      <c r="C28" s="52" t="str">
        <f t="shared" si="0"/>
        <v>金</v>
      </c>
      <c r="D28" s="193"/>
      <c r="E28" s="55">
        <v>0.375</v>
      </c>
      <c r="F28" s="55">
        <v>0.73958333333333337</v>
      </c>
      <c r="G28" s="55">
        <v>4.1666666666666664E-2</v>
      </c>
      <c r="H28" s="223">
        <v>7.75</v>
      </c>
      <c r="I28" s="195"/>
      <c r="J28" s="195"/>
      <c r="K28" s="195"/>
      <c r="L28" s="195"/>
      <c r="M28" s="195"/>
      <c r="N28" s="195"/>
      <c r="O28" s="352" t="str">
        <f t="shared" si="6"/>
        <v/>
      </c>
      <c r="P28" s="353" t="str">
        <f t="shared" si="7"/>
        <v/>
      </c>
      <c r="Q28" s="352" t="str">
        <f t="shared" si="8"/>
        <v/>
      </c>
      <c r="R28" s="353" t="str">
        <f t="shared" si="9"/>
        <v/>
      </c>
      <c r="S28" s="354">
        <f>IF(E28="","",SUM($O$14:O28)+SUM($P$14:P28)+SUM($Q$14:Q28)+SUM($R$14:R28))</f>
        <v>0</v>
      </c>
      <c r="T28" s="355"/>
      <c r="U28" s="356"/>
      <c r="V28" s="553" t="s">
        <v>319</v>
      </c>
      <c r="W28" s="554"/>
      <c r="X28" s="224"/>
      <c r="Y28" s="225" t="s">
        <v>330</v>
      </c>
      <c r="Z28" s="53"/>
      <c r="AA28" s="53"/>
      <c r="AB28" s="53"/>
      <c r="AC28" s="247">
        <v>387605022</v>
      </c>
      <c r="AD28" s="332" t="s">
        <v>316</v>
      </c>
      <c r="AE28" s="333">
        <f>SUM(H28,O28:R28)-SUM(T28:U28,AH28,AK28,AN28,AQ28)</f>
        <v>7.75</v>
      </c>
      <c r="AF28" s="334"/>
      <c r="AG28" s="332"/>
      <c r="AH28" s="335"/>
      <c r="AI28" s="334"/>
      <c r="AJ28" s="332"/>
      <c r="AK28" s="335"/>
      <c r="AL28" s="334"/>
      <c r="AM28" s="332"/>
      <c r="AN28" s="335"/>
      <c r="AO28" s="334"/>
      <c r="AP28" s="332"/>
      <c r="AQ28" s="336"/>
      <c r="AR28" s="480">
        <f t="shared" si="3"/>
        <v>7.75</v>
      </c>
      <c r="AS28" s="54" t="str">
        <f t="shared" si="1"/>
        <v>合</v>
      </c>
      <c r="AU28" s="322">
        <f t="shared" si="10"/>
        <v>0.32291666666666669</v>
      </c>
      <c r="AV28" s="449" t="str">
        <f t="shared" si="11"/>
        <v/>
      </c>
      <c r="AW28" s="449" t="str">
        <f t="shared" si="12"/>
        <v/>
      </c>
      <c r="AX28" s="449" t="str">
        <f t="shared" si="13"/>
        <v/>
      </c>
      <c r="AY28" s="323" t="str">
        <f t="shared" si="14"/>
        <v/>
      </c>
      <c r="AZ28" s="323">
        <f t="shared" si="15"/>
        <v>0.75</v>
      </c>
    </row>
    <row r="29" spans="1:52" ht="18" customHeight="1">
      <c r="B29" s="51">
        <f t="shared" si="2"/>
        <v>46270</v>
      </c>
      <c r="C29" s="52" t="str">
        <f t="shared" si="0"/>
        <v>土</v>
      </c>
      <c r="D29" s="193" t="s">
        <v>315</v>
      </c>
      <c r="E29" s="55"/>
      <c r="F29" s="55"/>
      <c r="G29" s="55"/>
      <c r="H29" s="223"/>
      <c r="I29" s="195"/>
      <c r="J29" s="195"/>
      <c r="K29" s="195"/>
      <c r="L29" s="195"/>
      <c r="M29" s="195"/>
      <c r="N29" s="195"/>
      <c r="O29" s="352" t="str">
        <f t="shared" si="6"/>
        <v/>
      </c>
      <c r="P29" s="353" t="str">
        <f t="shared" si="7"/>
        <v/>
      </c>
      <c r="Q29" s="352" t="str">
        <f t="shared" si="8"/>
        <v/>
      </c>
      <c r="R29" s="353" t="str">
        <f t="shared" si="9"/>
        <v/>
      </c>
      <c r="S29" s="354" t="str">
        <f>IF(E29="","",SUM($O$14:O29)+SUM($P$14:P29)+SUM($Q$14:Q29)+SUM($R$14:R29))</f>
        <v/>
      </c>
      <c r="T29" s="355"/>
      <c r="U29" s="356"/>
      <c r="V29" s="553"/>
      <c r="W29" s="554"/>
      <c r="X29" s="224"/>
      <c r="Y29" s="225"/>
      <c r="Z29" s="53"/>
      <c r="AA29" s="53"/>
      <c r="AB29" s="53"/>
      <c r="AC29" s="247"/>
      <c r="AD29" s="332"/>
      <c r="AE29" s="333"/>
      <c r="AF29" s="334"/>
      <c r="AG29" s="332"/>
      <c r="AH29" s="335"/>
      <c r="AI29" s="334"/>
      <c r="AJ29" s="332"/>
      <c r="AK29" s="335"/>
      <c r="AL29" s="334"/>
      <c r="AM29" s="332"/>
      <c r="AN29" s="335"/>
      <c r="AO29" s="334"/>
      <c r="AP29" s="332"/>
      <c r="AQ29" s="336"/>
      <c r="AR29" s="480">
        <f t="shared" si="3"/>
        <v>0</v>
      </c>
      <c r="AS29" s="54" t="str">
        <f t="shared" si="1"/>
        <v>合</v>
      </c>
      <c r="AU29" s="322" t="str">
        <f t="shared" si="10"/>
        <v/>
      </c>
      <c r="AV29" s="449" t="str">
        <f t="shared" si="11"/>
        <v/>
      </c>
      <c r="AW29" s="449" t="str">
        <f t="shared" si="12"/>
        <v/>
      </c>
      <c r="AX29" s="449" t="str">
        <f t="shared" si="13"/>
        <v/>
      </c>
      <c r="AY29" s="323" t="str">
        <f t="shared" si="14"/>
        <v/>
      </c>
      <c r="AZ29" s="323">
        <f t="shared" si="15"/>
        <v>0.75</v>
      </c>
    </row>
    <row r="30" spans="1:52" ht="18" customHeight="1">
      <c r="B30" s="51">
        <f t="shared" si="2"/>
        <v>46271</v>
      </c>
      <c r="C30" s="52" t="str">
        <f t="shared" si="0"/>
        <v>日</v>
      </c>
      <c r="D30" s="193" t="s">
        <v>315</v>
      </c>
      <c r="E30" s="55"/>
      <c r="F30" s="55"/>
      <c r="G30" s="55"/>
      <c r="H30" s="223"/>
      <c r="I30" s="195"/>
      <c r="J30" s="195"/>
      <c r="K30" s="195"/>
      <c r="L30" s="195"/>
      <c r="M30" s="195"/>
      <c r="N30" s="195"/>
      <c r="O30" s="352" t="str">
        <f t="shared" si="6"/>
        <v/>
      </c>
      <c r="P30" s="353" t="str">
        <f t="shared" si="7"/>
        <v/>
      </c>
      <c r="Q30" s="352" t="str">
        <f t="shared" si="8"/>
        <v/>
      </c>
      <c r="R30" s="353" t="str">
        <f t="shared" si="9"/>
        <v/>
      </c>
      <c r="S30" s="354" t="str">
        <f>IF(E30="","",SUM($O$14:O30)+SUM($P$14:P30)+SUM($Q$14:Q30)+SUM($R$14:R30))</f>
        <v/>
      </c>
      <c r="T30" s="355"/>
      <c r="U30" s="356"/>
      <c r="V30" s="553"/>
      <c r="W30" s="554"/>
      <c r="X30" s="224"/>
      <c r="Y30" s="225"/>
      <c r="Z30" s="53"/>
      <c r="AA30" s="53"/>
      <c r="AB30" s="53"/>
      <c r="AC30" s="247"/>
      <c r="AD30" s="337"/>
      <c r="AE30" s="333"/>
      <c r="AF30" s="334"/>
      <c r="AG30" s="332"/>
      <c r="AH30" s="335"/>
      <c r="AI30" s="334"/>
      <c r="AJ30" s="332"/>
      <c r="AK30" s="335"/>
      <c r="AL30" s="334"/>
      <c r="AM30" s="332"/>
      <c r="AN30" s="335"/>
      <c r="AO30" s="334"/>
      <c r="AP30" s="332"/>
      <c r="AQ30" s="336"/>
      <c r="AR30" s="480">
        <f t="shared" si="3"/>
        <v>0</v>
      </c>
      <c r="AS30" s="54" t="str">
        <f t="shared" si="1"/>
        <v>合</v>
      </c>
      <c r="AU30" s="322" t="str">
        <f t="shared" si="10"/>
        <v/>
      </c>
      <c r="AV30" s="449" t="str">
        <f t="shared" si="11"/>
        <v/>
      </c>
      <c r="AW30" s="449" t="str">
        <f t="shared" si="12"/>
        <v/>
      </c>
      <c r="AX30" s="449" t="str">
        <f t="shared" si="13"/>
        <v/>
      </c>
      <c r="AY30" s="323" t="str">
        <f t="shared" si="14"/>
        <v/>
      </c>
      <c r="AZ30" s="323">
        <f t="shared" si="15"/>
        <v>0.75</v>
      </c>
    </row>
    <row r="31" spans="1:52" ht="18" customHeight="1">
      <c r="B31" s="51">
        <f t="shared" si="2"/>
        <v>46272</v>
      </c>
      <c r="C31" s="52" t="str">
        <f t="shared" si="0"/>
        <v>月</v>
      </c>
      <c r="D31" s="193"/>
      <c r="E31" s="55"/>
      <c r="F31" s="55"/>
      <c r="G31" s="55"/>
      <c r="H31" s="223">
        <v>7.75</v>
      </c>
      <c r="I31" s="195"/>
      <c r="J31" s="195"/>
      <c r="K31" s="195"/>
      <c r="L31" s="195"/>
      <c r="M31" s="195"/>
      <c r="N31" s="195"/>
      <c r="O31" s="352" t="str">
        <f t="shared" si="6"/>
        <v/>
      </c>
      <c r="P31" s="353" t="str">
        <f t="shared" si="7"/>
        <v/>
      </c>
      <c r="Q31" s="352" t="str">
        <f t="shared" si="8"/>
        <v/>
      </c>
      <c r="R31" s="353" t="str">
        <f t="shared" si="9"/>
        <v/>
      </c>
      <c r="S31" s="354" t="str">
        <f>IF(E31="","",SUM($O$14:O31)+SUM($P$14:P31)+SUM($Q$14:Q31)+SUM($R$14:R31))</f>
        <v/>
      </c>
      <c r="T31" s="355"/>
      <c r="U31" s="356">
        <v>7.75</v>
      </c>
      <c r="V31" s="553" t="s">
        <v>314</v>
      </c>
      <c r="W31" s="554"/>
      <c r="X31" s="224"/>
      <c r="Y31" s="225" t="s">
        <v>330</v>
      </c>
      <c r="Z31" s="53"/>
      <c r="AA31" s="53"/>
      <c r="AB31" s="53"/>
      <c r="AC31" s="247"/>
      <c r="AD31" s="332"/>
      <c r="AE31" s="333">
        <f>SUM(H31,O31:R31)-SUM(T31:U31,AH31,AK31,AN31,AQ31)</f>
        <v>0</v>
      </c>
      <c r="AF31" s="489"/>
      <c r="AG31" s="332"/>
      <c r="AH31" s="335"/>
      <c r="AI31" s="334"/>
      <c r="AJ31" s="332"/>
      <c r="AK31" s="335"/>
      <c r="AL31" s="334"/>
      <c r="AM31" s="332"/>
      <c r="AN31" s="335"/>
      <c r="AO31" s="334"/>
      <c r="AP31" s="332"/>
      <c r="AQ31" s="336"/>
      <c r="AR31" s="480">
        <f t="shared" si="3"/>
        <v>0</v>
      </c>
      <c r="AS31" s="226" t="str">
        <f t="shared" si="1"/>
        <v>合</v>
      </c>
      <c r="AU31" s="322" t="str">
        <f t="shared" si="10"/>
        <v/>
      </c>
      <c r="AV31" s="449" t="str">
        <f t="shared" si="11"/>
        <v/>
      </c>
      <c r="AW31" s="449" t="str">
        <f t="shared" si="12"/>
        <v/>
      </c>
      <c r="AX31" s="449" t="str">
        <f t="shared" si="13"/>
        <v/>
      </c>
      <c r="AY31" s="323" t="str">
        <f t="shared" si="14"/>
        <v/>
      </c>
      <c r="AZ31" s="323">
        <f t="shared" si="15"/>
        <v>0.75</v>
      </c>
    </row>
    <row r="32" spans="1:52" ht="18" customHeight="1">
      <c r="B32" s="51">
        <f t="shared" si="2"/>
        <v>46273</v>
      </c>
      <c r="C32" s="52" t="str">
        <f t="shared" si="0"/>
        <v>火</v>
      </c>
      <c r="D32" s="193"/>
      <c r="E32" s="55">
        <v>0.375</v>
      </c>
      <c r="F32" s="55">
        <v>0.73958333333333337</v>
      </c>
      <c r="G32" s="55">
        <v>4.1666666666666664E-2</v>
      </c>
      <c r="H32" s="223">
        <v>7.75</v>
      </c>
      <c r="I32" s="195"/>
      <c r="J32" s="195"/>
      <c r="K32" s="195"/>
      <c r="L32" s="195"/>
      <c r="M32" s="195"/>
      <c r="N32" s="195"/>
      <c r="O32" s="352" t="str">
        <f t="shared" si="6"/>
        <v/>
      </c>
      <c r="P32" s="353" t="str">
        <f t="shared" si="7"/>
        <v/>
      </c>
      <c r="Q32" s="352" t="str">
        <f t="shared" si="8"/>
        <v/>
      </c>
      <c r="R32" s="353" t="str">
        <f t="shared" si="9"/>
        <v/>
      </c>
      <c r="S32" s="354">
        <f>IF(E32="","",SUM($O$14:O32)+SUM($P$14:P32)+SUM($Q$14:Q32)+SUM($R$14:R32))</f>
        <v>0</v>
      </c>
      <c r="T32" s="355"/>
      <c r="U32" s="356"/>
      <c r="V32" s="553" t="s">
        <v>320</v>
      </c>
      <c r="W32" s="554"/>
      <c r="X32" s="224"/>
      <c r="Y32" s="225" t="s">
        <v>330</v>
      </c>
      <c r="Z32" s="53"/>
      <c r="AA32" s="53"/>
      <c r="AB32" s="53"/>
      <c r="AC32" s="247">
        <v>387605022</v>
      </c>
      <c r="AD32" s="332" t="s">
        <v>316</v>
      </c>
      <c r="AE32" s="333">
        <f>SUM(H32,O32:R32)-SUM(T32:U32,AH32,AK32,AN32,AQ32)</f>
        <v>7.75</v>
      </c>
      <c r="AF32" s="334"/>
      <c r="AG32" s="332"/>
      <c r="AH32" s="335"/>
      <c r="AI32" s="334"/>
      <c r="AJ32" s="332"/>
      <c r="AK32" s="335"/>
      <c r="AL32" s="334"/>
      <c r="AM32" s="332"/>
      <c r="AN32" s="335"/>
      <c r="AO32" s="334"/>
      <c r="AP32" s="332"/>
      <c r="AQ32" s="336"/>
      <c r="AR32" s="480">
        <f t="shared" si="3"/>
        <v>7.75</v>
      </c>
      <c r="AS32" s="226" t="str">
        <f t="shared" si="1"/>
        <v>合</v>
      </c>
      <c r="AU32" s="322">
        <f t="shared" si="10"/>
        <v>0.32291666666666669</v>
      </c>
      <c r="AV32" s="449" t="str">
        <f t="shared" si="11"/>
        <v/>
      </c>
      <c r="AW32" s="449" t="str">
        <f t="shared" si="12"/>
        <v/>
      </c>
      <c r="AX32" s="449" t="str">
        <f t="shared" si="13"/>
        <v/>
      </c>
      <c r="AY32" s="323" t="str">
        <f t="shared" si="14"/>
        <v/>
      </c>
      <c r="AZ32" s="323">
        <f t="shared" si="15"/>
        <v>0.75</v>
      </c>
    </row>
    <row r="33" spans="2:52" ht="18" customHeight="1">
      <c r="B33" s="51">
        <f t="shared" si="2"/>
        <v>46274</v>
      </c>
      <c r="C33" s="52" t="str">
        <f t="shared" si="0"/>
        <v>水</v>
      </c>
      <c r="D33" s="193"/>
      <c r="E33" s="55">
        <v>0.375</v>
      </c>
      <c r="F33" s="55">
        <v>0.73958333333333337</v>
      </c>
      <c r="G33" s="55">
        <v>4.1666666666666664E-2</v>
      </c>
      <c r="H33" s="223">
        <v>7.75</v>
      </c>
      <c r="I33" s="195"/>
      <c r="J33" s="195"/>
      <c r="K33" s="195"/>
      <c r="L33" s="195"/>
      <c r="M33" s="195"/>
      <c r="N33" s="195"/>
      <c r="O33" s="352" t="str">
        <f t="shared" si="6"/>
        <v/>
      </c>
      <c r="P33" s="353" t="str">
        <f t="shared" si="7"/>
        <v/>
      </c>
      <c r="Q33" s="352" t="str">
        <f t="shared" si="8"/>
        <v/>
      </c>
      <c r="R33" s="353" t="str">
        <f t="shared" si="9"/>
        <v/>
      </c>
      <c r="S33" s="354">
        <f>IF(E33="","",SUM($O$14:O33)+SUM($P$14:P33)+SUM($Q$14:Q33)+SUM($R$14:R33))</f>
        <v>0</v>
      </c>
      <c r="T33" s="355"/>
      <c r="U33" s="356"/>
      <c r="V33" s="553" t="s">
        <v>321</v>
      </c>
      <c r="W33" s="554"/>
      <c r="X33" s="224"/>
      <c r="Y33" s="225" t="s">
        <v>330</v>
      </c>
      <c r="Z33" s="53"/>
      <c r="AA33" s="53"/>
      <c r="AB33" s="53"/>
      <c r="AC33" s="247">
        <v>387605022</v>
      </c>
      <c r="AD33" s="332" t="s">
        <v>316</v>
      </c>
      <c r="AE33" s="333">
        <f>SUM(H33,O33:R33)-SUM(T33:U33,AH33,AK33,AN33,AQ33)</f>
        <v>7.75</v>
      </c>
      <c r="AF33" s="334"/>
      <c r="AG33" s="332"/>
      <c r="AH33" s="335"/>
      <c r="AI33" s="334"/>
      <c r="AJ33" s="332"/>
      <c r="AK33" s="335"/>
      <c r="AL33" s="334"/>
      <c r="AM33" s="332"/>
      <c r="AN33" s="335"/>
      <c r="AO33" s="334"/>
      <c r="AP33" s="332"/>
      <c r="AQ33" s="336"/>
      <c r="AR33" s="480">
        <f t="shared" si="3"/>
        <v>7.75</v>
      </c>
      <c r="AS33" s="226" t="str">
        <f t="shared" si="1"/>
        <v>合</v>
      </c>
      <c r="AU33" s="322">
        <f t="shared" si="10"/>
        <v>0.32291666666666669</v>
      </c>
      <c r="AV33" s="449" t="str">
        <f t="shared" si="11"/>
        <v/>
      </c>
      <c r="AW33" s="449" t="str">
        <f t="shared" si="12"/>
        <v/>
      </c>
      <c r="AX33" s="449" t="str">
        <f t="shared" si="13"/>
        <v/>
      </c>
      <c r="AY33" s="323" t="str">
        <f t="shared" si="14"/>
        <v/>
      </c>
      <c r="AZ33" s="323">
        <f t="shared" si="15"/>
        <v>0.75</v>
      </c>
    </row>
    <row r="34" spans="2:52" ht="18" customHeight="1">
      <c r="B34" s="51">
        <f t="shared" si="2"/>
        <v>46275</v>
      </c>
      <c r="C34" s="52" t="str">
        <f t="shared" si="0"/>
        <v>木</v>
      </c>
      <c r="D34" s="193"/>
      <c r="E34" s="55">
        <v>0.375</v>
      </c>
      <c r="F34" s="55">
        <v>0.73958333333333337</v>
      </c>
      <c r="G34" s="55">
        <v>4.1666666666666664E-2</v>
      </c>
      <c r="H34" s="223">
        <v>7.75</v>
      </c>
      <c r="I34" s="195"/>
      <c r="J34" s="195"/>
      <c r="K34" s="195"/>
      <c r="L34" s="195"/>
      <c r="M34" s="195"/>
      <c r="N34" s="195"/>
      <c r="O34" s="352" t="str">
        <f t="shared" si="6"/>
        <v/>
      </c>
      <c r="P34" s="353" t="str">
        <f t="shared" si="7"/>
        <v/>
      </c>
      <c r="Q34" s="352" t="str">
        <f t="shared" si="8"/>
        <v/>
      </c>
      <c r="R34" s="353" t="str">
        <f t="shared" si="9"/>
        <v/>
      </c>
      <c r="S34" s="354">
        <f>IF(E34="","",SUM($O$14:O34)+SUM($P$14:P34)+SUM($Q$14:Q34)+SUM($R$14:R34))</f>
        <v>0</v>
      </c>
      <c r="T34" s="355"/>
      <c r="U34" s="356"/>
      <c r="V34" s="553" t="s">
        <v>322</v>
      </c>
      <c r="W34" s="554"/>
      <c r="X34" s="224"/>
      <c r="Y34" s="225" t="s">
        <v>330</v>
      </c>
      <c r="Z34" s="53"/>
      <c r="AA34" s="53"/>
      <c r="AB34" s="53"/>
      <c r="AC34" s="247">
        <v>387605022</v>
      </c>
      <c r="AD34" s="332" t="s">
        <v>316</v>
      </c>
      <c r="AE34" s="333">
        <f>SUM(H34,O34:R34)-SUM(T34:U34,AH34,AK34,AN34,AQ34)</f>
        <v>7.75</v>
      </c>
      <c r="AF34" s="334"/>
      <c r="AG34" s="332"/>
      <c r="AH34" s="335"/>
      <c r="AI34" s="334"/>
      <c r="AJ34" s="332"/>
      <c r="AK34" s="335"/>
      <c r="AL34" s="334"/>
      <c r="AM34" s="332"/>
      <c r="AN34" s="335"/>
      <c r="AO34" s="334"/>
      <c r="AP34" s="332"/>
      <c r="AQ34" s="336"/>
      <c r="AR34" s="480">
        <f t="shared" si="3"/>
        <v>7.75</v>
      </c>
      <c r="AS34" s="226" t="str">
        <f t="shared" si="1"/>
        <v>合</v>
      </c>
      <c r="AU34" s="322">
        <f t="shared" si="10"/>
        <v>0.32291666666666669</v>
      </c>
      <c r="AV34" s="449" t="str">
        <f t="shared" si="11"/>
        <v/>
      </c>
      <c r="AW34" s="449" t="str">
        <f t="shared" si="12"/>
        <v/>
      </c>
      <c r="AX34" s="449" t="str">
        <f t="shared" si="13"/>
        <v/>
      </c>
      <c r="AY34" s="323" t="str">
        <f t="shared" si="14"/>
        <v/>
      </c>
      <c r="AZ34" s="323">
        <f t="shared" si="15"/>
        <v>0.75</v>
      </c>
    </row>
    <row r="35" spans="2:52" ht="18" customHeight="1">
      <c r="B35" s="51">
        <f t="shared" si="2"/>
        <v>46276</v>
      </c>
      <c r="C35" s="52" t="str">
        <f t="shared" si="0"/>
        <v>金</v>
      </c>
      <c r="D35" s="193"/>
      <c r="E35" s="55">
        <v>0.375</v>
      </c>
      <c r="F35" s="55">
        <v>0.73958333333333337</v>
      </c>
      <c r="G35" s="55">
        <v>4.1666666666666664E-2</v>
      </c>
      <c r="H35" s="223">
        <v>7.75</v>
      </c>
      <c r="I35" s="195"/>
      <c r="J35" s="195"/>
      <c r="K35" s="195"/>
      <c r="L35" s="195"/>
      <c r="M35" s="195"/>
      <c r="N35" s="195"/>
      <c r="O35" s="352" t="str">
        <f t="shared" si="6"/>
        <v/>
      </c>
      <c r="P35" s="353" t="str">
        <f t="shared" si="7"/>
        <v/>
      </c>
      <c r="Q35" s="352" t="str">
        <f t="shared" si="8"/>
        <v/>
      </c>
      <c r="R35" s="353" t="str">
        <f t="shared" si="9"/>
        <v/>
      </c>
      <c r="S35" s="354">
        <f>IF(E35="","",SUM($O$14:O35)+SUM($P$14:P35)+SUM($Q$14:Q35)+SUM($R$14:R35))</f>
        <v>0</v>
      </c>
      <c r="T35" s="355"/>
      <c r="U35" s="356"/>
      <c r="V35" s="553" t="s">
        <v>323</v>
      </c>
      <c r="W35" s="554"/>
      <c r="X35" s="224"/>
      <c r="Y35" s="225" t="s">
        <v>330</v>
      </c>
      <c r="Z35" s="53"/>
      <c r="AA35" s="53"/>
      <c r="AB35" s="53"/>
      <c r="AC35" s="247">
        <v>387605022</v>
      </c>
      <c r="AD35" s="332" t="s">
        <v>316</v>
      </c>
      <c r="AE35" s="333">
        <f>SUM(H35,O35:R35)-SUM(T35:U35,AH35,AK35,AN35,AQ35)</f>
        <v>7.75</v>
      </c>
      <c r="AF35" s="334"/>
      <c r="AG35" s="332"/>
      <c r="AH35" s="335"/>
      <c r="AI35" s="334"/>
      <c r="AJ35" s="332"/>
      <c r="AK35" s="335"/>
      <c r="AL35" s="334"/>
      <c r="AM35" s="332"/>
      <c r="AN35" s="335"/>
      <c r="AO35" s="334"/>
      <c r="AP35" s="332"/>
      <c r="AQ35" s="336"/>
      <c r="AR35" s="480">
        <f t="shared" si="3"/>
        <v>7.75</v>
      </c>
      <c r="AS35" s="226" t="str">
        <f t="shared" si="1"/>
        <v>合</v>
      </c>
      <c r="AU35" s="322">
        <f t="shared" si="10"/>
        <v>0.32291666666666669</v>
      </c>
      <c r="AV35" s="449" t="str">
        <f t="shared" si="11"/>
        <v/>
      </c>
      <c r="AW35" s="449" t="str">
        <f t="shared" si="12"/>
        <v/>
      </c>
      <c r="AX35" s="449" t="str">
        <f t="shared" si="13"/>
        <v/>
      </c>
      <c r="AY35" s="323" t="str">
        <f t="shared" si="14"/>
        <v/>
      </c>
      <c r="AZ35" s="323">
        <f t="shared" si="15"/>
        <v>0.75</v>
      </c>
    </row>
    <row r="36" spans="2:52" ht="18" customHeight="1">
      <c r="B36" s="51">
        <f t="shared" si="2"/>
        <v>46277</v>
      </c>
      <c r="C36" s="52" t="str">
        <f t="shared" si="0"/>
        <v>土</v>
      </c>
      <c r="D36" s="193" t="s">
        <v>315</v>
      </c>
      <c r="E36" s="55"/>
      <c r="F36" s="55"/>
      <c r="G36" s="55"/>
      <c r="H36" s="223"/>
      <c r="I36" s="195"/>
      <c r="J36" s="195"/>
      <c r="K36" s="195"/>
      <c r="L36" s="195"/>
      <c r="M36" s="195"/>
      <c r="N36" s="195"/>
      <c r="O36" s="352" t="str">
        <f t="shared" si="6"/>
        <v/>
      </c>
      <c r="P36" s="353" t="str">
        <f t="shared" si="7"/>
        <v/>
      </c>
      <c r="Q36" s="352" t="str">
        <f t="shared" si="8"/>
        <v/>
      </c>
      <c r="R36" s="353" t="str">
        <f t="shared" si="9"/>
        <v/>
      </c>
      <c r="S36" s="354" t="str">
        <f>IF(E36="","",SUM($O$14:O36)+SUM($P$14:P36)+SUM($Q$14:Q36)+SUM($R$14:R36))</f>
        <v/>
      </c>
      <c r="T36" s="355"/>
      <c r="U36" s="356"/>
      <c r="V36" s="553"/>
      <c r="W36" s="554"/>
      <c r="X36" s="224"/>
      <c r="Y36" s="225"/>
      <c r="Z36" s="53"/>
      <c r="AA36" s="53"/>
      <c r="AB36" s="53"/>
      <c r="AC36" s="247"/>
      <c r="AD36" s="332"/>
      <c r="AE36" s="333"/>
      <c r="AF36" s="334"/>
      <c r="AG36" s="332"/>
      <c r="AH36" s="335"/>
      <c r="AI36" s="334"/>
      <c r="AJ36" s="332"/>
      <c r="AK36" s="335"/>
      <c r="AL36" s="334"/>
      <c r="AM36" s="332"/>
      <c r="AN36" s="335"/>
      <c r="AO36" s="334"/>
      <c r="AP36" s="332"/>
      <c r="AQ36" s="336"/>
      <c r="AR36" s="480">
        <f t="shared" si="3"/>
        <v>0</v>
      </c>
      <c r="AS36" s="226" t="str">
        <f t="shared" si="1"/>
        <v>合</v>
      </c>
      <c r="AU36" s="322" t="str">
        <f t="shared" si="10"/>
        <v/>
      </c>
      <c r="AV36" s="449" t="str">
        <f t="shared" si="11"/>
        <v/>
      </c>
      <c r="AW36" s="449" t="str">
        <f t="shared" si="12"/>
        <v/>
      </c>
      <c r="AX36" s="449" t="str">
        <f t="shared" si="13"/>
        <v/>
      </c>
      <c r="AY36" s="323" t="str">
        <f t="shared" si="14"/>
        <v/>
      </c>
      <c r="AZ36" s="323">
        <f t="shared" si="15"/>
        <v>0.75</v>
      </c>
    </row>
    <row r="37" spans="2:52" ht="18" customHeight="1">
      <c r="B37" s="51">
        <f t="shared" si="2"/>
        <v>46278</v>
      </c>
      <c r="C37" s="52" t="str">
        <f t="shared" si="0"/>
        <v>日</v>
      </c>
      <c r="D37" s="193" t="s">
        <v>315</v>
      </c>
      <c r="E37" s="55"/>
      <c r="F37" s="55"/>
      <c r="G37" s="55"/>
      <c r="H37" s="223"/>
      <c r="I37" s="195"/>
      <c r="J37" s="195"/>
      <c r="K37" s="195"/>
      <c r="L37" s="195"/>
      <c r="M37" s="195"/>
      <c r="N37" s="195"/>
      <c r="O37" s="352" t="str">
        <f t="shared" si="6"/>
        <v/>
      </c>
      <c r="P37" s="353" t="str">
        <f t="shared" si="7"/>
        <v/>
      </c>
      <c r="Q37" s="352" t="str">
        <f t="shared" si="8"/>
        <v/>
      </c>
      <c r="R37" s="353" t="str">
        <f t="shared" si="9"/>
        <v/>
      </c>
      <c r="S37" s="354" t="str">
        <f>IF(E37="","",SUM($O$14:O37)+SUM($P$14:P37)+SUM($Q$14:Q37)+SUM($R$14:R37))</f>
        <v/>
      </c>
      <c r="T37" s="355"/>
      <c r="U37" s="356"/>
      <c r="V37" s="553"/>
      <c r="W37" s="554"/>
      <c r="X37" s="224"/>
      <c r="Y37" s="225"/>
      <c r="Z37" s="53"/>
      <c r="AA37" s="53"/>
      <c r="AB37" s="53"/>
      <c r="AC37" s="247"/>
      <c r="AD37" s="332"/>
      <c r="AE37" s="333"/>
      <c r="AF37" s="334"/>
      <c r="AG37" s="332"/>
      <c r="AH37" s="335"/>
      <c r="AI37" s="334"/>
      <c r="AJ37" s="332"/>
      <c r="AK37" s="335"/>
      <c r="AL37" s="334"/>
      <c r="AM37" s="332"/>
      <c r="AN37" s="335"/>
      <c r="AO37" s="334"/>
      <c r="AP37" s="332"/>
      <c r="AQ37" s="336"/>
      <c r="AR37" s="480">
        <f t="shared" si="3"/>
        <v>0</v>
      </c>
      <c r="AS37" s="226" t="str">
        <f t="shared" si="1"/>
        <v>合</v>
      </c>
      <c r="AU37" s="322" t="str">
        <f t="shared" si="10"/>
        <v/>
      </c>
      <c r="AV37" s="449" t="str">
        <f t="shared" si="11"/>
        <v/>
      </c>
      <c r="AW37" s="449" t="str">
        <f t="shared" si="12"/>
        <v/>
      </c>
      <c r="AX37" s="449" t="str">
        <f t="shared" si="13"/>
        <v/>
      </c>
      <c r="AY37" s="323" t="str">
        <f t="shared" si="14"/>
        <v/>
      </c>
      <c r="AZ37" s="323">
        <f t="shared" si="15"/>
        <v>0.75</v>
      </c>
    </row>
    <row r="38" spans="2:52" ht="18" customHeight="1">
      <c r="B38" s="51">
        <f t="shared" si="2"/>
        <v>46279</v>
      </c>
      <c r="C38" s="52" t="str">
        <f t="shared" si="0"/>
        <v>月</v>
      </c>
      <c r="D38" s="193"/>
      <c r="E38" s="55">
        <v>0.5625</v>
      </c>
      <c r="F38" s="55">
        <v>0.73958333333333337</v>
      </c>
      <c r="G38" s="55">
        <v>4.1666666666666664E-2</v>
      </c>
      <c r="H38" s="223">
        <v>7.75</v>
      </c>
      <c r="I38" s="195"/>
      <c r="J38" s="195"/>
      <c r="K38" s="195"/>
      <c r="L38" s="195"/>
      <c r="M38" s="195"/>
      <c r="N38" s="195"/>
      <c r="O38" s="352" t="str">
        <f t="shared" si="6"/>
        <v/>
      </c>
      <c r="P38" s="353" t="str">
        <f t="shared" si="7"/>
        <v/>
      </c>
      <c r="Q38" s="352" t="str">
        <f t="shared" si="8"/>
        <v/>
      </c>
      <c r="R38" s="353" t="str">
        <f t="shared" si="9"/>
        <v/>
      </c>
      <c r="S38" s="354">
        <f>IF(E38="","",SUM($O$14:O38)+SUM($P$14:P38)+SUM($Q$14:Q38)+SUM($R$14:R38))</f>
        <v>0</v>
      </c>
      <c r="T38" s="355"/>
      <c r="U38" s="356">
        <v>3.5</v>
      </c>
      <c r="V38" s="553" t="s">
        <v>329</v>
      </c>
      <c r="W38" s="554"/>
      <c r="X38" s="224"/>
      <c r="Y38" s="225" t="s">
        <v>330</v>
      </c>
      <c r="Z38" s="53"/>
      <c r="AA38" s="53"/>
      <c r="AB38" s="53"/>
      <c r="AC38" s="247">
        <v>387605022</v>
      </c>
      <c r="AD38" s="332" t="s">
        <v>316</v>
      </c>
      <c r="AE38" s="333">
        <f>SUM(H38,O38:R38)-SUM(T38:U38,AH38,AK38,AN38,AQ38)</f>
        <v>4.25</v>
      </c>
      <c r="AF38" s="334"/>
      <c r="AG38" s="332"/>
      <c r="AH38" s="335"/>
      <c r="AI38" s="334"/>
      <c r="AJ38" s="332"/>
      <c r="AK38" s="335"/>
      <c r="AL38" s="334"/>
      <c r="AM38" s="332"/>
      <c r="AN38" s="335"/>
      <c r="AO38" s="334"/>
      <c r="AP38" s="332"/>
      <c r="AQ38" s="336"/>
      <c r="AR38" s="480">
        <f t="shared" si="3"/>
        <v>4.25</v>
      </c>
      <c r="AS38" s="54" t="str">
        <f t="shared" si="1"/>
        <v>合</v>
      </c>
      <c r="AU38" s="322">
        <f>IF(AND(F38&lt;&gt;"",E38&lt;&gt;"",G38&lt;&gt;""),F38-E38-MAX(0,MIN(F38,TIME(13,30,0))-MAX(E38,TIME(12,30,0))),"")</f>
        <v>0.17708333333333337</v>
      </c>
      <c r="AV38" s="449" t="str">
        <f t="shared" si="11"/>
        <v/>
      </c>
      <c r="AW38" s="449" t="str">
        <f t="shared" si="12"/>
        <v/>
      </c>
      <c r="AX38" s="449" t="str">
        <f t="shared" si="13"/>
        <v/>
      </c>
      <c r="AY38" s="323" t="str">
        <f t="shared" si="14"/>
        <v/>
      </c>
      <c r="AZ38" s="323">
        <f t="shared" si="15"/>
        <v>0.75</v>
      </c>
    </row>
    <row r="39" spans="2:52" ht="18" customHeight="1">
      <c r="B39" s="51">
        <f t="shared" si="2"/>
        <v>46280</v>
      </c>
      <c r="C39" s="52" t="str">
        <f t="shared" si="0"/>
        <v>火</v>
      </c>
      <c r="D39" s="193"/>
      <c r="E39" s="55">
        <v>0.375</v>
      </c>
      <c r="F39" s="55">
        <v>0.73958333333333337</v>
      </c>
      <c r="G39" s="55">
        <v>4.1666666666666664E-2</v>
      </c>
      <c r="H39" s="223">
        <v>7.75</v>
      </c>
      <c r="I39" s="195"/>
      <c r="J39" s="195"/>
      <c r="K39" s="195"/>
      <c r="L39" s="195"/>
      <c r="M39" s="195"/>
      <c r="N39" s="195"/>
      <c r="O39" s="352" t="str">
        <f t="shared" si="6"/>
        <v/>
      </c>
      <c r="P39" s="353" t="str">
        <f t="shared" si="7"/>
        <v/>
      </c>
      <c r="Q39" s="352" t="str">
        <f t="shared" si="8"/>
        <v/>
      </c>
      <c r="R39" s="353" t="str">
        <f t="shared" si="9"/>
        <v/>
      </c>
      <c r="S39" s="354">
        <f>IF(E39="","",SUM($O$14:O39)+SUM($P$14:P39)+SUM($Q$14:Q39)+SUM($R$14:R39))</f>
        <v>0</v>
      </c>
      <c r="T39" s="355"/>
      <c r="U39" s="356"/>
      <c r="V39" s="553" t="s">
        <v>322</v>
      </c>
      <c r="W39" s="554"/>
      <c r="X39" s="224"/>
      <c r="Y39" s="225" t="s">
        <v>330</v>
      </c>
      <c r="Z39" s="53"/>
      <c r="AA39" s="53"/>
      <c r="AB39" s="53"/>
      <c r="AC39" s="247">
        <v>387605022</v>
      </c>
      <c r="AD39" s="332" t="s">
        <v>316</v>
      </c>
      <c r="AE39" s="333">
        <f>SUM(H39,O39:R39)-SUM(T39:U39,AH39,AK39,AN39,AQ39)</f>
        <v>7.75</v>
      </c>
      <c r="AF39" s="334"/>
      <c r="AG39" s="332"/>
      <c r="AH39" s="484"/>
      <c r="AI39" s="488"/>
      <c r="AJ39" s="332"/>
      <c r="AK39" s="335"/>
      <c r="AL39" s="334"/>
      <c r="AM39" s="332"/>
      <c r="AN39" s="335"/>
      <c r="AO39" s="334"/>
      <c r="AP39" s="332"/>
      <c r="AQ39" s="336"/>
      <c r="AR39" s="480">
        <f t="shared" si="3"/>
        <v>7.75</v>
      </c>
      <c r="AS39" s="54" t="str">
        <f t="shared" si="1"/>
        <v>合</v>
      </c>
      <c r="AU39" s="322">
        <f t="shared" ref="AU39:AU44" si="16">IF(AND(F39&lt;&gt;"",E39&lt;&gt;"",G39&lt;&gt;""),F39-E39-G39,"")</f>
        <v>0.32291666666666669</v>
      </c>
      <c r="AV39" s="449" t="str">
        <f t="shared" si="11"/>
        <v/>
      </c>
      <c r="AW39" s="449" t="str">
        <f t="shared" si="12"/>
        <v/>
      </c>
      <c r="AX39" s="449" t="str">
        <f t="shared" si="13"/>
        <v/>
      </c>
      <c r="AY39" s="323" t="str">
        <f t="shared" si="14"/>
        <v/>
      </c>
      <c r="AZ39" s="323">
        <f t="shared" si="15"/>
        <v>0.75</v>
      </c>
    </row>
    <row r="40" spans="2:52" ht="18" customHeight="1">
      <c r="B40" s="51">
        <f t="shared" si="2"/>
        <v>46281</v>
      </c>
      <c r="C40" s="52" t="str">
        <f t="shared" si="0"/>
        <v>水</v>
      </c>
      <c r="D40" s="193"/>
      <c r="E40" s="55">
        <v>0.375</v>
      </c>
      <c r="F40" s="55">
        <v>0.73958333333333337</v>
      </c>
      <c r="G40" s="55">
        <v>4.1666666666666664E-2</v>
      </c>
      <c r="H40" s="223">
        <v>7.75</v>
      </c>
      <c r="I40" s="195"/>
      <c r="J40" s="195"/>
      <c r="K40" s="195"/>
      <c r="L40" s="195"/>
      <c r="M40" s="195"/>
      <c r="N40" s="195"/>
      <c r="O40" s="352" t="str">
        <f t="shared" si="6"/>
        <v/>
      </c>
      <c r="P40" s="353" t="str">
        <f t="shared" si="7"/>
        <v/>
      </c>
      <c r="Q40" s="352" t="str">
        <f t="shared" si="8"/>
        <v/>
      </c>
      <c r="R40" s="353" t="str">
        <f t="shared" si="9"/>
        <v/>
      </c>
      <c r="S40" s="354">
        <f>IF(E40="","",SUM($O$14:O40)+SUM($P$14:P40)+SUM($Q$14:Q40)+SUM($R$14:R40))</f>
        <v>0</v>
      </c>
      <c r="T40" s="355"/>
      <c r="U40" s="356"/>
      <c r="V40" s="553" t="s">
        <v>324</v>
      </c>
      <c r="W40" s="554"/>
      <c r="X40" s="224"/>
      <c r="Y40" s="225" t="s">
        <v>330</v>
      </c>
      <c r="Z40" s="53"/>
      <c r="AA40" s="53"/>
      <c r="AB40" s="53"/>
      <c r="AC40" s="247">
        <v>387605022</v>
      </c>
      <c r="AD40" s="332" t="s">
        <v>316</v>
      </c>
      <c r="AE40" s="333">
        <f>SUM(H40,O40:R40)-SUM(T40:U40,AH40,AK40,AN40,AQ40)</f>
        <v>7.75</v>
      </c>
      <c r="AF40" s="334"/>
      <c r="AG40" s="332"/>
      <c r="AH40" s="484"/>
      <c r="AI40" s="488"/>
      <c r="AJ40" s="332"/>
      <c r="AK40" s="335"/>
      <c r="AL40" s="334"/>
      <c r="AM40" s="332"/>
      <c r="AN40" s="335"/>
      <c r="AO40" s="334"/>
      <c r="AP40" s="332"/>
      <c r="AQ40" s="336"/>
      <c r="AR40" s="480">
        <f t="shared" si="3"/>
        <v>7.75</v>
      </c>
      <c r="AS40" s="54" t="str">
        <f t="shared" si="1"/>
        <v>合</v>
      </c>
      <c r="AU40" s="322">
        <f t="shared" si="16"/>
        <v>0.32291666666666669</v>
      </c>
      <c r="AV40" s="449" t="str">
        <f t="shared" si="11"/>
        <v/>
      </c>
      <c r="AW40" s="449" t="str">
        <f t="shared" si="12"/>
        <v/>
      </c>
      <c r="AX40" s="449" t="str">
        <f t="shared" si="13"/>
        <v/>
      </c>
      <c r="AY40" s="323" t="str">
        <f t="shared" si="14"/>
        <v/>
      </c>
      <c r="AZ40" s="323">
        <f t="shared" si="15"/>
        <v>0.75</v>
      </c>
    </row>
    <row r="41" spans="2:52" ht="18" customHeight="1">
      <c r="B41" s="51">
        <f t="shared" si="2"/>
        <v>46282</v>
      </c>
      <c r="C41" s="52" t="str">
        <f t="shared" si="0"/>
        <v>木</v>
      </c>
      <c r="D41" s="193"/>
      <c r="E41" s="55">
        <v>0.375</v>
      </c>
      <c r="F41" s="55">
        <v>0.73958333333333337</v>
      </c>
      <c r="G41" s="55">
        <v>4.1666666666666664E-2</v>
      </c>
      <c r="H41" s="223">
        <v>7.75</v>
      </c>
      <c r="I41" s="195"/>
      <c r="J41" s="195"/>
      <c r="K41" s="195"/>
      <c r="L41" s="195"/>
      <c r="M41" s="195"/>
      <c r="N41" s="195"/>
      <c r="O41" s="352" t="str">
        <f t="shared" si="6"/>
        <v/>
      </c>
      <c r="P41" s="353" t="str">
        <f t="shared" si="7"/>
        <v/>
      </c>
      <c r="Q41" s="352" t="str">
        <f t="shared" si="8"/>
        <v/>
      </c>
      <c r="R41" s="353" t="str">
        <f t="shared" si="9"/>
        <v/>
      </c>
      <c r="S41" s="354">
        <f>IF(E41="","",SUM($O$14:O41)+SUM($P$14:P41)+SUM($Q$14:Q41)+SUM($R$14:R41))</f>
        <v>0</v>
      </c>
      <c r="T41" s="355"/>
      <c r="U41" s="356"/>
      <c r="V41" s="553" t="s">
        <v>325</v>
      </c>
      <c r="W41" s="554"/>
      <c r="X41" s="224"/>
      <c r="Y41" s="225" t="s">
        <v>330</v>
      </c>
      <c r="Z41" s="53"/>
      <c r="AA41" s="53"/>
      <c r="AB41" s="53"/>
      <c r="AC41" s="247">
        <v>387605022</v>
      </c>
      <c r="AD41" s="332" t="s">
        <v>316</v>
      </c>
      <c r="AE41" s="333">
        <f>SUM(H41,O41:R41)-SUM(T41:U41,AH41,AK41,AN41,AQ41)</f>
        <v>7.75</v>
      </c>
      <c r="AF41" s="334"/>
      <c r="AG41" s="332"/>
      <c r="AH41" s="335"/>
      <c r="AI41" s="334"/>
      <c r="AJ41" s="332"/>
      <c r="AK41" s="335"/>
      <c r="AL41" s="334"/>
      <c r="AM41" s="332"/>
      <c r="AN41" s="335"/>
      <c r="AO41" s="334"/>
      <c r="AP41" s="332"/>
      <c r="AQ41" s="336"/>
      <c r="AR41" s="480">
        <f t="shared" si="3"/>
        <v>7.75</v>
      </c>
      <c r="AS41" s="54" t="str">
        <f t="shared" si="1"/>
        <v>合</v>
      </c>
      <c r="AU41" s="322">
        <f t="shared" si="16"/>
        <v>0.32291666666666669</v>
      </c>
      <c r="AV41" s="449" t="str">
        <f t="shared" si="11"/>
        <v/>
      </c>
      <c r="AW41" s="449" t="str">
        <f t="shared" si="12"/>
        <v/>
      </c>
      <c r="AX41" s="449" t="str">
        <f t="shared" si="13"/>
        <v/>
      </c>
      <c r="AY41" s="323" t="str">
        <f t="shared" si="14"/>
        <v/>
      </c>
      <c r="AZ41" s="323">
        <f t="shared" si="15"/>
        <v>0.75</v>
      </c>
    </row>
    <row r="42" spans="2:52" ht="18" customHeight="1">
      <c r="B42" s="51">
        <f t="shared" si="2"/>
        <v>46283</v>
      </c>
      <c r="C42" s="52" t="str">
        <f t="shared" si="0"/>
        <v>金</v>
      </c>
      <c r="D42" s="193"/>
      <c r="E42" s="55">
        <v>0.375</v>
      </c>
      <c r="F42" s="55">
        <v>0.73958333333333337</v>
      </c>
      <c r="G42" s="55">
        <v>4.1666666666666664E-2</v>
      </c>
      <c r="H42" s="223">
        <v>7.75</v>
      </c>
      <c r="I42" s="195"/>
      <c r="J42" s="195"/>
      <c r="K42" s="195"/>
      <c r="L42" s="195"/>
      <c r="M42" s="195"/>
      <c r="N42" s="195"/>
      <c r="O42" s="352" t="str">
        <f t="shared" si="6"/>
        <v/>
      </c>
      <c r="P42" s="353" t="str">
        <f t="shared" si="7"/>
        <v/>
      </c>
      <c r="Q42" s="352" t="str">
        <f t="shared" si="8"/>
        <v/>
      </c>
      <c r="R42" s="353" t="str">
        <f t="shared" si="9"/>
        <v/>
      </c>
      <c r="S42" s="354">
        <f>IF(E42="","",SUM($O$14:O42)+SUM($P$14:P42)+SUM($Q$14:Q42)+SUM($R$14:R42))</f>
        <v>0</v>
      </c>
      <c r="T42" s="355"/>
      <c r="U42" s="356"/>
      <c r="V42" s="553" t="s">
        <v>326</v>
      </c>
      <c r="W42" s="554"/>
      <c r="X42" s="224"/>
      <c r="Y42" s="225" t="s">
        <v>330</v>
      </c>
      <c r="Z42" s="196"/>
      <c r="AA42" s="196"/>
      <c r="AB42" s="196"/>
      <c r="AC42" s="247">
        <v>387605022</v>
      </c>
      <c r="AD42" s="332" t="s">
        <v>316</v>
      </c>
      <c r="AE42" s="484">
        <f>SUM(H42,O42:R42)-SUM(T42:U42,AH42,AK42,AN42,AQ42)</f>
        <v>7.75</v>
      </c>
      <c r="AF42" s="483"/>
      <c r="AG42" s="205"/>
      <c r="AH42" s="335"/>
      <c r="AI42" s="334"/>
      <c r="AJ42" s="332"/>
      <c r="AK42" s="335"/>
      <c r="AL42" s="334"/>
      <c r="AM42" s="332"/>
      <c r="AN42" s="335"/>
      <c r="AO42" s="334"/>
      <c r="AP42" s="332"/>
      <c r="AQ42" s="336"/>
      <c r="AR42" s="480">
        <f t="shared" si="3"/>
        <v>7.75</v>
      </c>
      <c r="AS42" s="54" t="str">
        <f t="shared" si="1"/>
        <v>合</v>
      </c>
      <c r="AU42" s="322">
        <f t="shared" si="16"/>
        <v>0.32291666666666669</v>
      </c>
      <c r="AV42" s="449" t="str">
        <f t="shared" si="11"/>
        <v/>
      </c>
      <c r="AW42" s="449" t="str">
        <f t="shared" si="12"/>
        <v/>
      </c>
      <c r="AX42" s="449" t="str">
        <f t="shared" si="13"/>
        <v/>
      </c>
      <c r="AY42" s="323" t="str">
        <f t="shared" si="14"/>
        <v/>
      </c>
      <c r="AZ42" s="323">
        <f t="shared" si="15"/>
        <v>0.75</v>
      </c>
    </row>
    <row r="43" spans="2:52" ht="18" customHeight="1">
      <c r="B43" s="51">
        <f t="shared" si="2"/>
        <v>46284</v>
      </c>
      <c r="C43" s="52" t="str">
        <f t="shared" si="0"/>
        <v>土</v>
      </c>
      <c r="D43" s="193" t="s">
        <v>315</v>
      </c>
      <c r="E43" s="55"/>
      <c r="F43" s="55"/>
      <c r="G43" s="55"/>
      <c r="H43" s="223"/>
      <c r="I43" s="195"/>
      <c r="J43" s="195"/>
      <c r="K43" s="195"/>
      <c r="L43" s="195"/>
      <c r="M43" s="195"/>
      <c r="N43" s="195"/>
      <c r="O43" s="352" t="str">
        <f t="shared" si="6"/>
        <v/>
      </c>
      <c r="P43" s="353" t="str">
        <f t="shared" si="7"/>
        <v/>
      </c>
      <c r="Q43" s="352" t="str">
        <f t="shared" si="8"/>
        <v/>
      </c>
      <c r="R43" s="353" t="str">
        <f t="shared" si="9"/>
        <v/>
      </c>
      <c r="S43" s="354" t="str">
        <f>IF(E43="","",SUM($O$14:O43)+SUM($P$14:P43)+SUM($Q$14:Q43)+SUM($R$14:R43))</f>
        <v/>
      </c>
      <c r="T43" s="355"/>
      <c r="U43" s="356"/>
      <c r="V43" s="553"/>
      <c r="W43" s="554"/>
      <c r="X43" s="224"/>
      <c r="Y43" s="326"/>
      <c r="Z43" s="566" t="s">
        <v>44</v>
      </c>
      <c r="AA43" s="567"/>
      <c r="AB43" s="551" t="s">
        <v>74</v>
      </c>
      <c r="AC43" s="247"/>
      <c r="AD43" s="332"/>
      <c r="AE43" s="333" t="str">
        <f>IF(E43&lt;&gt;"",H43+IF(O43&lt;&gt;"",O43,0)-IF(T43&lt;&gt;"",T43,0)-SUM(AH43,AK43,AN43,AQ43),"")</f>
        <v/>
      </c>
      <c r="AF43" s="334"/>
      <c r="AG43" s="332"/>
      <c r="AH43" s="335"/>
      <c r="AI43" s="334"/>
      <c r="AJ43" s="332"/>
      <c r="AK43" s="335"/>
      <c r="AL43" s="334"/>
      <c r="AM43" s="332"/>
      <c r="AN43" s="335"/>
      <c r="AO43" s="334"/>
      <c r="AP43" s="332"/>
      <c r="AQ43" s="336"/>
      <c r="AR43" s="480">
        <f t="shared" si="3"/>
        <v>0</v>
      </c>
      <c r="AS43" s="54" t="str">
        <f t="shared" si="1"/>
        <v>合</v>
      </c>
      <c r="AU43" s="322" t="str">
        <f t="shared" si="16"/>
        <v/>
      </c>
      <c r="AV43" s="449" t="str">
        <f t="shared" si="11"/>
        <v/>
      </c>
      <c r="AW43" s="449" t="str">
        <f t="shared" si="12"/>
        <v/>
      </c>
      <c r="AX43" s="449" t="str">
        <f t="shared" si="13"/>
        <v/>
      </c>
      <c r="AY43" s="323" t="str">
        <f t="shared" si="14"/>
        <v/>
      </c>
      <c r="AZ43" s="323">
        <f t="shared" si="15"/>
        <v>0.75</v>
      </c>
    </row>
    <row r="44" spans="2:52" ht="18" customHeight="1" thickBot="1">
      <c r="B44" s="51">
        <f t="shared" si="2"/>
        <v>46285</v>
      </c>
      <c r="C44" s="52" t="str">
        <f t="shared" si="0"/>
        <v>日</v>
      </c>
      <c r="D44" s="193" t="s">
        <v>315</v>
      </c>
      <c r="E44" s="55"/>
      <c r="F44" s="55"/>
      <c r="G44" s="55" t="str">
        <f>IF(OR(E44="",F44=""),"",IF(F44&gt;$AZ44,TIME(0,15,0),TIME(0,0,0))+IF(AND(E44&lt;=$AV$7,F44&gt;$AV$7),TIME(1,0,0),TIME(0,0,0))+IF(F44&gt;=$AV$4,TIME(0,30,0),TIME(0,0,0)))</f>
        <v/>
      </c>
      <c r="H44" s="223" t="str">
        <f>IF(AND(D44="",AU44&lt;&gt;""),$AV$1,IF(OR(V44="終日自社戻り",COUNTIF(V44,"有休*")&gt;0,COUNTIF(V44,"休み*")&gt;0),$AV$1,""))</f>
        <v/>
      </c>
      <c r="I44" s="195"/>
      <c r="J44" s="195"/>
      <c r="K44" s="195"/>
      <c r="L44" s="195"/>
      <c r="M44" s="195"/>
      <c r="N44" s="195"/>
      <c r="O44" s="352" t="str">
        <f t="shared" si="6"/>
        <v/>
      </c>
      <c r="P44" s="353" t="str">
        <f t="shared" si="7"/>
        <v/>
      </c>
      <c r="Q44" s="352" t="str">
        <f t="shared" si="8"/>
        <v/>
      </c>
      <c r="R44" s="353" t="str">
        <f t="shared" si="9"/>
        <v/>
      </c>
      <c r="S44" s="354" t="str">
        <f>IF(E44="","",SUM($O$14:O44)+SUM($P$14:P44)+SUM($Q$14:Q44)+SUM($R$14:R44))</f>
        <v/>
      </c>
      <c r="T44" s="355"/>
      <c r="U44" s="356"/>
      <c r="V44" s="553"/>
      <c r="W44" s="554"/>
      <c r="X44" s="227"/>
      <c r="Y44" s="431"/>
      <c r="Z44" s="197" t="s">
        <v>56</v>
      </c>
      <c r="AA44" s="198" t="s">
        <v>57</v>
      </c>
      <c r="AB44" s="552"/>
      <c r="AC44" s="248"/>
      <c r="AD44" s="337"/>
      <c r="AE44" s="338" t="str">
        <f>IF(E44&lt;&gt;"",H44+IF(O44&lt;&gt;"",O44,0)-IF(T44&lt;&gt;"",T44,0)-SUM(AH44,AK44,AN44,AQ44),"")</f>
        <v/>
      </c>
      <c r="AF44" s="339"/>
      <c r="AG44" s="337"/>
      <c r="AH44" s="340"/>
      <c r="AI44" s="339"/>
      <c r="AJ44" s="337"/>
      <c r="AK44" s="340"/>
      <c r="AL44" s="339"/>
      <c r="AM44" s="337"/>
      <c r="AN44" s="340"/>
      <c r="AO44" s="339"/>
      <c r="AP44" s="337"/>
      <c r="AQ44" s="341"/>
      <c r="AR44" s="481">
        <f t="shared" si="3"/>
        <v>0</v>
      </c>
      <c r="AS44" s="56" t="str">
        <f t="shared" si="1"/>
        <v>合</v>
      </c>
      <c r="AU44" s="324" t="str">
        <f t="shared" si="16"/>
        <v/>
      </c>
      <c r="AV44" s="450" t="str">
        <f t="shared" si="11"/>
        <v/>
      </c>
      <c r="AW44" s="450" t="str">
        <f t="shared" si="12"/>
        <v/>
      </c>
      <c r="AX44" s="450" t="str">
        <f t="shared" si="13"/>
        <v/>
      </c>
      <c r="AY44" s="325" t="str">
        <f t="shared" si="14"/>
        <v/>
      </c>
      <c r="AZ44" s="325">
        <f t="shared" si="15"/>
        <v>0.75</v>
      </c>
    </row>
    <row r="45" spans="2:52" ht="17.100000000000001" customHeight="1" thickBot="1">
      <c r="B45" s="555" t="s">
        <v>123</v>
      </c>
      <c r="C45" s="556"/>
      <c r="D45" s="556"/>
      <c r="E45" s="556"/>
      <c r="F45" s="556"/>
      <c r="G45" s="556"/>
      <c r="H45" s="228">
        <f>SUM(H14:H44)</f>
        <v>108.5</v>
      </c>
      <c r="I45" s="199"/>
      <c r="J45" s="199"/>
      <c r="K45" s="199"/>
      <c r="L45" s="199"/>
      <c r="M45" s="199"/>
      <c r="N45" s="199"/>
      <c r="O45" s="357">
        <f>SUM(O14:O44)</f>
        <v>0</v>
      </c>
      <c r="P45" s="358">
        <f>SUM(P14:P44)</f>
        <v>0</v>
      </c>
      <c r="Q45" s="357">
        <f>SUM(Q14:Q44)</f>
        <v>0</v>
      </c>
      <c r="R45" s="358">
        <f>SUM(R14:R44)</f>
        <v>0</v>
      </c>
      <c r="S45" s="229"/>
      <c r="T45" s="359">
        <f>SUM(T14:T44)</f>
        <v>0</v>
      </c>
      <c r="U45" s="360">
        <f>SUM(U14:U44)</f>
        <v>19</v>
      </c>
      <c r="Z45" s="58">
        <f>IF(Q3+1&lt;=DATE(YEAR(Q3),MONTH(Q3)+1,0),Q3+1,"")</f>
        <v>46286</v>
      </c>
      <c r="AA45" s="59" t="str">
        <f t="shared" ref="AA45:AA55" si="17">IF(Z45="","",CHOOSE(WEEKDAY(Z45),"日","月","火","水","木","金","土"))</f>
        <v>月</v>
      </c>
      <c r="AB45" s="401" t="s">
        <v>315</v>
      </c>
      <c r="AC45" s="246"/>
      <c r="AD45" s="327"/>
      <c r="AE45" s="328"/>
      <c r="AF45" s="329"/>
      <c r="AG45" s="327"/>
      <c r="AH45" s="330"/>
      <c r="AI45" s="329"/>
      <c r="AJ45" s="327"/>
      <c r="AK45" s="330"/>
      <c r="AL45" s="329"/>
      <c r="AM45" s="327"/>
      <c r="AN45" s="330"/>
      <c r="AO45" s="329"/>
      <c r="AP45" s="327"/>
      <c r="AQ45" s="331"/>
      <c r="AR45" s="479">
        <f t="shared" si="3"/>
        <v>0</v>
      </c>
    </row>
    <row r="46" spans="2:52" ht="17.25" customHeight="1">
      <c r="B46" s="57"/>
      <c r="Z46" s="58">
        <f>IF(Q3+2&lt;=DATE(YEAR(Q3),MONTH(Q3)+1,0),Q3+2,"")</f>
        <v>46287</v>
      </c>
      <c r="AA46" s="59" t="str">
        <f t="shared" si="17"/>
        <v>火</v>
      </c>
      <c r="AB46" s="401" t="s">
        <v>315</v>
      </c>
      <c r="AC46" s="247"/>
      <c r="AD46" s="332"/>
      <c r="AE46" s="333"/>
      <c r="AF46" s="334"/>
      <c r="AG46" s="332"/>
      <c r="AH46" s="335"/>
      <c r="AI46" s="334"/>
      <c r="AJ46" s="332"/>
      <c r="AK46" s="335"/>
      <c r="AL46" s="334"/>
      <c r="AM46" s="332"/>
      <c r="AN46" s="335"/>
      <c r="AO46" s="334"/>
      <c r="AP46" s="332"/>
      <c r="AQ46" s="336"/>
      <c r="AR46" s="480">
        <f t="shared" si="3"/>
        <v>0</v>
      </c>
    </row>
    <row r="47" spans="2:52" ht="17.25" customHeight="1">
      <c r="B47" s="57"/>
      <c r="E47" s="60"/>
      <c r="F47" s="61"/>
      <c r="G47" s="61"/>
      <c r="H47" s="62"/>
      <c r="I47" s="63"/>
      <c r="J47" s="63"/>
      <c r="K47" s="63"/>
      <c r="L47" s="63"/>
      <c r="M47" s="63"/>
      <c r="N47" s="63"/>
      <c r="O47" s="61"/>
      <c r="P47" s="61"/>
      <c r="Q47" s="61"/>
      <c r="R47" s="61"/>
      <c r="S47" s="61"/>
      <c r="T47" s="61"/>
      <c r="U47" s="62"/>
      <c r="Z47" s="58">
        <f>IF(Q3+3&lt;=DATE(YEAR(Q3),MONTH(Q3)+1,0),Q3+3,"")</f>
        <v>46288</v>
      </c>
      <c r="AA47" s="59" t="str">
        <f t="shared" si="17"/>
        <v>水</v>
      </c>
      <c r="AB47" s="401" t="s">
        <v>315</v>
      </c>
      <c r="AC47" s="247"/>
      <c r="AD47" s="332"/>
      <c r="AE47" s="333"/>
      <c r="AF47" s="334"/>
      <c r="AG47" s="332"/>
      <c r="AH47" s="335"/>
      <c r="AI47" s="334"/>
      <c r="AJ47" s="332"/>
      <c r="AK47" s="335"/>
      <c r="AL47" s="334"/>
      <c r="AM47" s="332"/>
      <c r="AN47" s="335"/>
      <c r="AO47" s="334"/>
      <c r="AP47" s="332"/>
      <c r="AQ47" s="336"/>
      <c r="AR47" s="480">
        <f t="shared" si="3"/>
        <v>0</v>
      </c>
    </row>
    <row r="48" spans="2:52" ht="17.25" customHeight="1">
      <c r="B48" s="57"/>
      <c r="E48" s="557" t="s">
        <v>75</v>
      </c>
      <c r="F48" s="557" t="s">
        <v>76</v>
      </c>
      <c r="G48" s="557" t="s">
        <v>327</v>
      </c>
      <c r="H48" s="558" t="s">
        <v>328</v>
      </c>
      <c r="I48" s="64"/>
      <c r="J48" s="64"/>
      <c r="K48" s="64"/>
      <c r="L48" s="64"/>
      <c r="M48" s="64"/>
      <c r="N48" s="64"/>
      <c r="O48" s="560" t="s">
        <v>77</v>
      </c>
      <c r="P48" s="65" t="s">
        <v>48</v>
      </c>
      <c r="Q48" s="66"/>
      <c r="R48" s="65" t="s">
        <v>49</v>
      </c>
      <c r="S48" s="66"/>
      <c r="T48" s="562" t="s">
        <v>78</v>
      </c>
      <c r="U48" s="564" t="s">
        <v>79</v>
      </c>
      <c r="V48" s="67"/>
      <c r="W48" s="67"/>
      <c r="X48" s="67"/>
      <c r="Z48" s="58">
        <f>IF(Q3+4&lt;=DATE(YEAR(Q3),MONTH(Q3)+1,0),Q3+4,"")</f>
        <v>46289</v>
      </c>
      <c r="AA48" s="59" t="str">
        <f t="shared" si="17"/>
        <v>木</v>
      </c>
      <c r="AB48" s="401"/>
      <c r="AC48" s="247">
        <v>387605022</v>
      </c>
      <c r="AD48" s="332" t="s">
        <v>316</v>
      </c>
      <c r="AE48" s="333">
        <f>IF(AC48&lt;&gt;"",7.75-SUM(AH48,AK48,AN48,AQ48),"")</f>
        <v>7.75</v>
      </c>
      <c r="AF48" s="334"/>
      <c r="AG48" s="332"/>
      <c r="AH48" s="335"/>
      <c r="AI48" s="334"/>
      <c r="AJ48" s="332"/>
      <c r="AK48" s="335"/>
      <c r="AL48" s="334"/>
      <c r="AM48" s="332"/>
      <c r="AN48" s="335"/>
      <c r="AO48" s="334"/>
      <c r="AP48" s="332"/>
      <c r="AQ48" s="336"/>
      <c r="AR48" s="480">
        <f t="shared" si="3"/>
        <v>7.75</v>
      </c>
    </row>
    <row r="49" spans="2:48" ht="17.25" customHeight="1">
      <c r="B49" s="57"/>
      <c r="E49" s="557"/>
      <c r="F49" s="557"/>
      <c r="G49" s="557"/>
      <c r="H49" s="559"/>
      <c r="I49" s="68"/>
      <c r="J49" s="68"/>
      <c r="K49" s="68"/>
      <c r="L49" s="68"/>
      <c r="M49" s="68"/>
      <c r="N49" s="68"/>
      <c r="O49" s="561"/>
      <c r="P49" s="69" t="s">
        <v>124</v>
      </c>
      <c r="Q49" s="69" t="s">
        <v>237</v>
      </c>
      <c r="R49" s="69" t="s">
        <v>238</v>
      </c>
      <c r="S49" s="69" t="s">
        <v>237</v>
      </c>
      <c r="T49" s="563"/>
      <c r="U49" s="565"/>
      <c r="V49" s="70"/>
      <c r="W49" s="70"/>
      <c r="X49" s="70"/>
      <c r="Z49" s="58">
        <f>IF(Q3+5&lt;=DATE(YEAR(Q3),MONTH(Q3)+1,0),Q3+5,"")</f>
        <v>46290</v>
      </c>
      <c r="AA49" s="59" t="str">
        <f t="shared" si="17"/>
        <v>金</v>
      </c>
      <c r="AB49" s="401"/>
      <c r="AC49" s="247">
        <v>387605022</v>
      </c>
      <c r="AD49" s="332" t="s">
        <v>316</v>
      </c>
      <c r="AE49" s="333">
        <f>IF(AC49&lt;&gt;"",7.75-SUM(AH49,AK49,AN49,AQ49),"")</f>
        <v>7.75</v>
      </c>
      <c r="AF49" s="334"/>
      <c r="AG49" s="332"/>
      <c r="AH49" s="335"/>
      <c r="AI49" s="334"/>
      <c r="AJ49" s="332"/>
      <c r="AK49" s="335"/>
      <c r="AL49" s="334"/>
      <c r="AM49" s="332"/>
      <c r="AN49" s="335"/>
      <c r="AO49" s="334"/>
      <c r="AP49" s="332"/>
      <c r="AQ49" s="336"/>
      <c r="AR49" s="480">
        <f t="shared" si="3"/>
        <v>7.75</v>
      </c>
    </row>
    <row r="50" spans="2:48" ht="17.25" customHeight="1">
      <c r="B50" s="57"/>
      <c r="E50" s="491">
        <f>SUBTOTAL(3,E14:E44)-COUNTIF(V14:V44,"午前欠勤*")/2</f>
        <v>11.5</v>
      </c>
      <c r="F50" s="492">
        <f>COUNTIF(V14:W44,"*有休*")+COUNTIF(V14:W44,"終日自社戻り")+COUNTIF(V14:W44,"休み*")+COUNTIF(V14:W44,"欠勤")+COUNTIF(V14:V44,"午前欠勤*")/2</f>
        <v>2.5</v>
      </c>
      <c r="G50" s="231">
        <f>COUNTIF(D14:D44,"~*")-SUBTOTAL(2,Q14:Q44)</f>
        <v>10</v>
      </c>
      <c r="H50" s="231">
        <f>COUNT(B14:B44)</f>
        <v>31</v>
      </c>
      <c r="I50" s="232"/>
      <c r="J50" s="232"/>
      <c r="K50" s="232"/>
      <c r="L50" s="232"/>
      <c r="M50" s="232"/>
      <c r="N50" s="232"/>
      <c r="O50" s="361">
        <f>H45</f>
        <v>108.5</v>
      </c>
      <c r="P50" s="362">
        <f>O45</f>
        <v>0</v>
      </c>
      <c r="Q50" s="362">
        <f>P45</f>
        <v>0</v>
      </c>
      <c r="R50" s="362">
        <f>Q45</f>
        <v>0</v>
      </c>
      <c r="S50" s="362">
        <f>R45</f>
        <v>0</v>
      </c>
      <c r="T50" s="362">
        <f>T45+U45</f>
        <v>19</v>
      </c>
      <c r="U50" s="362">
        <f>SUM(O50:S50)-T50</f>
        <v>89.5</v>
      </c>
      <c r="V50" s="71"/>
      <c r="W50" s="71"/>
      <c r="X50" s="71"/>
      <c r="Z50" s="58">
        <f>IF(Q3+6&lt;=DATE(YEAR(Q3),MONTH(Q3)+1,0),Q3+6,"")</f>
        <v>46291</v>
      </c>
      <c r="AA50" s="59" t="str">
        <f t="shared" si="17"/>
        <v>土</v>
      </c>
      <c r="AB50" s="401" t="s">
        <v>315</v>
      </c>
      <c r="AC50" s="247"/>
      <c r="AD50" s="332"/>
      <c r="AE50" s="333"/>
      <c r="AF50" s="334"/>
      <c r="AG50" s="332"/>
      <c r="AH50" s="335"/>
      <c r="AI50" s="334"/>
      <c r="AJ50" s="332"/>
      <c r="AK50" s="335"/>
      <c r="AL50" s="334"/>
      <c r="AM50" s="332"/>
      <c r="AN50" s="335"/>
      <c r="AO50" s="334"/>
      <c r="AP50" s="332"/>
      <c r="AQ50" s="336"/>
      <c r="AR50" s="480">
        <f t="shared" si="3"/>
        <v>0</v>
      </c>
    </row>
    <row r="51" spans="2:48" ht="17.25" customHeight="1">
      <c r="B51" s="57"/>
      <c r="Z51" s="58">
        <f>IF(Q3+7&lt;=DATE(YEAR(Q3),MONTH(Q3)+1,0),Q3+7,"")</f>
        <v>46292</v>
      </c>
      <c r="AA51" s="59" t="str">
        <f t="shared" si="17"/>
        <v>日</v>
      </c>
      <c r="AB51" s="401" t="s">
        <v>315</v>
      </c>
      <c r="AC51" s="247"/>
      <c r="AD51" s="332"/>
      <c r="AE51" s="333"/>
      <c r="AF51" s="334"/>
      <c r="AG51" s="332"/>
      <c r="AH51" s="335"/>
      <c r="AI51" s="334"/>
      <c r="AJ51" s="332"/>
      <c r="AK51" s="335"/>
      <c r="AL51" s="334"/>
      <c r="AM51" s="332"/>
      <c r="AN51" s="335"/>
      <c r="AO51" s="334"/>
      <c r="AP51" s="332"/>
      <c r="AQ51" s="336"/>
      <c r="AR51" s="480">
        <f t="shared" si="3"/>
        <v>0</v>
      </c>
    </row>
    <row r="52" spans="2:48" ht="17.25" customHeight="1">
      <c r="C52" s="505" t="s">
        <v>80</v>
      </c>
      <c r="D52" s="72"/>
      <c r="E52" s="73" t="s">
        <v>81</v>
      </c>
      <c r="F52" s="74"/>
      <c r="G52" s="75" t="s">
        <v>82</v>
      </c>
      <c r="H52" s="75"/>
      <c r="I52" s="76"/>
      <c r="J52" s="76"/>
      <c r="K52" s="76"/>
      <c r="L52" s="76"/>
      <c r="M52" s="76"/>
      <c r="N52" s="76"/>
      <c r="O52" s="75"/>
      <c r="P52" s="75"/>
      <c r="Q52" s="75"/>
      <c r="R52" s="75"/>
      <c r="S52" s="75"/>
      <c r="T52" s="75"/>
      <c r="U52" s="73" t="s">
        <v>83</v>
      </c>
      <c r="V52" s="74"/>
      <c r="W52" s="508" t="s">
        <v>53</v>
      </c>
      <c r="X52" s="509"/>
      <c r="Y52" s="510"/>
      <c r="Z52" s="58">
        <f>IF(Q3+8&lt;=DATE(YEAR(Q3),MONTH(Q3)+1,0),Q3+8,"")</f>
        <v>46293</v>
      </c>
      <c r="AA52" s="59" t="str">
        <f t="shared" si="17"/>
        <v>月</v>
      </c>
      <c r="AB52" s="487"/>
      <c r="AC52" s="247">
        <v>387605022</v>
      </c>
      <c r="AD52" s="332" t="s">
        <v>316</v>
      </c>
      <c r="AE52" s="333">
        <f>IF(AC52&lt;&gt;"",7.75-SUM(AH52,AK52,AN52,AQ52),"")</f>
        <v>7.75</v>
      </c>
      <c r="AF52" s="334"/>
      <c r="AG52" s="332"/>
      <c r="AH52" s="335"/>
      <c r="AI52" s="334"/>
      <c r="AJ52" s="332"/>
      <c r="AK52" s="335"/>
      <c r="AL52" s="334"/>
      <c r="AM52" s="332"/>
      <c r="AN52" s="335"/>
      <c r="AO52" s="334"/>
      <c r="AP52" s="332"/>
      <c r="AQ52" s="336"/>
      <c r="AR52" s="480">
        <f t="shared" si="3"/>
        <v>7.75</v>
      </c>
    </row>
    <row r="53" spans="2:48" ht="17.25" customHeight="1">
      <c r="C53" s="506"/>
      <c r="D53" s="77"/>
      <c r="E53" s="78" t="s">
        <v>84</v>
      </c>
      <c r="F53" s="79"/>
      <c r="G53" s="81" t="s">
        <v>313</v>
      </c>
      <c r="H53" s="233"/>
      <c r="I53" s="80"/>
      <c r="J53" s="80"/>
      <c r="K53" s="80"/>
      <c r="L53" s="80"/>
      <c r="M53" s="80"/>
      <c r="N53" s="80"/>
      <c r="O53" s="81"/>
      <c r="P53" s="81"/>
      <c r="Q53" s="81"/>
      <c r="R53" s="81"/>
      <c r="S53" s="81"/>
      <c r="T53" s="81"/>
      <c r="U53" s="511">
        <f>IF(H50&lt;&gt;"&lt;NG&gt;",AV6,"")</f>
        <v>400000</v>
      </c>
      <c r="V53" s="512"/>
      <c r="W53" s="513" t="s">
        <v>239</v>
      </c>
      <c r="X53" s="514"/>
      <c r="Y53" s="515"/>
      <c r="Z53" s="58">
        <f>IF(Q3+9&lt;=DATE(YEAR(Q3),MONTH(Q3)+1,0),Q3+9,"")</f>
        <v>46294</v>
      </c>
      <c r="AA53" s="59" t="str">
        <f t="shared" si="17"/>
        <v>火</v>
      </c>
      <c r="AB53" s="230"/>
      <c r="AC53" s="247">
        <v>387605022</v>
      </c>
      <c r="AD53" s="332" t="s">
        <v>316</v>
      </c>
      <c r="AE53" s="333">
        <f>IF(AC53&lt;&gt;"",7.75-SUM(AH53,AK53,AN53,AQ53),"")</f>
        <v>7.75</v>
      </c>
      <c r="AF53" s="334"/>
      <c r="AG53" s="332"/>
      <c r="AH53" s="335"/>
      <c r="AI53" s="334"/>
      <c r="AJ53" s="332"/>
      <c r="AK53" s="335"/>
      <c r="AL53" s="334"/>
      <c r="AM53" s="332"/>
      <c r="AN53" s="335"/>
      <c r="AO53" s="334"/>
      <c r="AP53" s="332"/>
      <c r="AQ53" s="336"/>
      <c r="AR53" s="480">
        <f t="shared" si="3"/>
        <v>7.75</v>
      </c>
    </row>
    <row r="54" spans="2:48" ht="17.25" customHeight="1">
      <c r="C54" s="506"/>
      <c r="D54" s="77"/>
      <c r="E54" s="82" t="s">
        <v>85</v>
      </c>
      <c r="F54" s="83"/>
      <c r="H54" s="344" t="s">
        <v>86</v>
      </c>
      <c r="I54" s="84"/>
      <c r="J54" s="84"/>
      <c r="K54" s="84"/>
      <c r="L54" s="84"/>
      <c r="M54" s="84"/>
      <c r="N54" s="84"/>
      <c r="O54" s="234">
        <f>R74</f>
        <v>0</v>
      </c>
      <c r="P54" s="85" t="s">
        <v>240</v>
      </c>
      <c r="Q54" s="235">
        <f>$AV$5</f>
        <v>2500</v>
      </c>
      <c r="R54" s="86" t="s">
        <v>87</v>
      </c>
      <c r="S54" s="86"/>
      <c r="U54" s="516">
        <f>IF(O54&lt;&gt;"",Q54*O54,"")</f>
        <v>0</v>
      </c>
      <c r="V54" s="517"/>
      <c r="W54" s="518" t="s">
        <v>241</v>
      </c>
      <c r="X54" s="519"/>
      <c r="Y54" s="520"/>
      <c r="Z54" s="402">
        <f>IF(Q3+10&lt;=DATE(YEAR(Q3),MONTH(Q3)+1,0),Q3+10,"")</f>
        <v>46295</v>
      </c>
      <c r="AA54" s="403" t="str">
        <f t="shared" si="17"/>
        <v>水</v>
      </c>
      <c r="AB54" s="236"/>
      <c r="AC54" s="247">
        <v>387605022</v>
      </c>
      <c r="AD54" s="337" t="s">
        <v>316</v>
      </c>
      <c r="AE54" s="338">
        <f>IF(AC54&lt;&gt;"",7.75-SUM(AH54,AK54,AN54,AQ54),"")</f>
        <v>7.75</v>
      </c>
      <c r="AF54" s="339"/>
      <c r="AG54" s="337"/>
      <c r="AH54" s="340"/>
      <c r="AI54" s="339"/>
      <c r="AJ54" s="337"/>
      <c r="AK54" s="340"/>
      <c r="AL54" s="339"/>
      <c r="AM54" s="337"/>
      <c r="AN54" s="340"/>
      <c r="AO54" s="339"/>
      <c r="AP54" s="337"/>
      <c r="AQ54" s="341"/>
      <c r="AR54" s="481">
        <f t="shared" si="3"/>
        <v>7.75</v>
      </c>
    </row>
    <row r="55" spans="2:48" ht="17.25" customHeight="1" thickBot="1">
      <c r="C55" s="506"/>
      <c r="D55" s="77"/>
      <c r="E55" s="82"/>
      <c r="F55" s="83"/>
      <c r="I55" s="87"/>
      <c r="J55" s="87"/>
      <c r="K55" s="87"/>
      <c r="L55" s="87"/>
      <c r="M55" s="87"/>
      <c r="N55" s="87"/>
      <c r="O55" s="234">
        <f>R75</f>
        <v>0</v>
      </c>
      <c r="P55" s="85" t="s">
        <v>88</v>
      </c>
      <c r="Q55" s="235">
        <f>$AV$5</f>
        <v>2500</v>
      </c>
      <c r="R55" s="86" t="s">
        <v>89</v>
      </c>
      <c r="S55" s="86"/>
      <c r="U55" s="521">
        <f>IF(O55&lt;&gt;"",Q55*O55,"")</f>
        <v>0</v>
      </c>
      <c r="V55" s="522"/>
      <c r="W55" s="518" t="s">
        <v>242</v>
      </c>
      <c r="X55" s="519"/>
      <c r="Y55" s="520"/>
      <c r="Z55" s="244" t="str">
        <f>IF(Q3+11&lt;=DATE(YEAR(Q3),MONTH(Q3)+1,0),Q3+11,"")</f>
        <v/>
      </c>
      <c r="AA55" s="245" t="str">
        <f t="shared" si="17"/>
        <v/>
      </c>
      <c r="AB55" s="237"/>
      <c r="AC55" s="456"/>
      <c r="AD55" s="376"/>
      <c r="AE55" s="457"/>
      <c r="AF55" s="377"/>
      <c r="AG55" s="376"/>
      <c r="AH55" s="378"/>
      <c r="AI55" s="377"/>
      <c r="AJ55" s="376"/>
      <c r="AK55" s="378"/>
      <c r="AL55" s="377"/>
      <c r="AM55" s="376"/>
      <c r="AN55" s="378"/>
      <c r="AO55" s="377"/>
      <c r="AP55" s="376"/>
      <c r="AQ55" s="379"/>
      <c r="AR55" s="482">
        <f t="shared" si="3"/>
        <v>0</v>
      </c>
    </row>
    <row r="56" spans="2:48" ht="17.25" customHeight="1" thickBot="1">
      <c r="C56" s="506"/>
      <c r="D56" s="77"/>
      <c r="E56" s="82"/>
      <c r="F56" s="83"/>
      <c r="I56" s="87"/>
      <c r="J56" s="87"/>
      <c r="K56" s="87"/>
      <c r="L56" s="87"/>
      <c r="M56" s="87"/>
      <c r="N56" s="87"/>
      <c r="O56" s="234">
        <f>R76</f>
        <v>0</v>
      </c>
      <c r="P56" s="85" t="s">
        <v>88</v>
      </c>
      <c r="Q56" s="235">
        <f>$AV$5</f>
        <v>2500</v>
      </c>
      <c r="R56" s="86" t="s">
        <v>90</v>
      </c>
      <c r="S56" s="86"/>
      <c r="U56" s="521">
        <f>IF(O56&lt;&gt;"",Q56*O56,"")</f>
        <v>0</v>
      </c>
      <c r="V56" s="522"/>
      <c r="W56" s="518" t="s">
        <v>243</v>
      </c>
      <c r="X56" s="519"/>
      <c r="Y56" s="520"/>
      <c r="AC56" s="363" t="s">
        <v>122</v>
      </c>
      <c r="AD56" s="200"/>
      <c r="AE56" s="201"/>
      <c r="AF56" s="202"/>
      <c r="AG56" s="200"/>
      <c r="AH56" s="201"/>
      <c r="AI56" s="202"/>
      <c r="AJ56" s="200"/>
      <c r="AK56" s="201"/>
      <c r="AL56" s="202"/>
      <c r="AM56" s="200"/>
      <c r="AN56" s="201"/>
      <c r="AO56" s="203" t="s">
        <v>110</v>
      </c>
      <c r="AP56" s="204"/>
      <c r="AQ56" s="364">
        <f ca="1">SUMIF($AC$25:$AE$55,AO56,$AE$25:$AE$55)+SUMIF($AF$25:$AH$55,AO56,$AH$25:$AH$55)+SUMIF($AI$25:$AK$55,AO56,$AK$25:$AK$55)+SUMIF($AL$25:$AN$55,AO56,$AN$25:$AN$55)+SUMIF($AO$25:$AQ$55,AO56,$AQ$25:$AQ$55)</f>
        <v>0</v>
      </c>
      <c r="AR56" s="365">
        <f>SUM(AR25:AR55)</f>
        <v>128.25</v>
      </c>
    </row>
    <row r="57" spans="2:48" ht="17.25" customHeight="1">
      <c r="C57" s="506"/>
      <c r="D57" s="77"/>
      <c r="E57" s="88"/>
      <c r="F57" s="89"/>
      <c r="G57" s="90"/>
      <c r="H57" s="90"/>
      <c r="I57" s="91"/>
      <c r="J57" s="91"/>
      <c r="K57" s="91"/>
      <c r="L57" s="91"/>
      <c r="M57" s="91"/>
      <c r="N57" s="91"/>
      <c r="O57" s="238">
        <f>R77</f>
        <v>0</v>
      </c>
      <c r="P57" s="92" t="s">
        <v>88</v>
      </c>
      <c r="Q57" s="239">
        <f>$AV$5</f>
        <v>2500</v>
      </c>
      <c r="R57" s="93" t="s">
        <v>91</v>
      </c>
      <c r="S57" s="93"/>
      <c r="T57" s="90"/>
      <c r="U57" s="523">
        <f>IF(O57&lt;&gt;"",Q57*O57,"")</f>
        <v>0</v>
      </c>
      <c r="V57" s="524"/>
      <c r="W57" s="518" t="s">
        <v>244</v>
      </c>
      <c r="X57" s="519"/>
      <c r="Y57" s="520"/>
      <c r="AC57" s="309">
        <v>387605022</v>
      </c>
      <c r="AD57" s="205" t="s">
        <v>316</v>
      </c>
      <c r="AE57" s="366">
        <f ca="1">SUMIF($AC$25:$AE$55,AC57,$AE$25:$AE$55)+SUMIF($AF$25:$AH$55,AC57,$AH$25:$AH$55)+SUMIF($AI$25:$AK$55,AC57,$AK$25:$AK$55)+SUMIF($AL$25:$AN$55,AC57,$AN$25:$AN$55)+SUMIF($AO$25:$AQ$55,AC57,$AQ$25:$AQ$55)</f>
        <v>128.25</v>
      </c>
      <c r="AF57" s="485"/>
      <c r="AG57" s="205"/>
      <c r="AH57" s="366">
        <f ca="1">SUMIF($AC$25:$AE$55,AF57,$AE$25:$AE$55)+SUMIF($AF$25:$AH$55,AF57,$AH$25:$AH$55)+SUMIF($AI$25:$AK$55,AF57,$AK$25:$AK$55)+SUMIF($AL$25:$AN$55,AF57,$AN$25:$AN$55)+SUMIF($AO$25:$AQ$55,AF57,$AQ$25:$AQ$55)</f>
        <v>0</v>
      </c>
      <c r="AI57" s="310"/>
      <c r="AJ57" s="205"/>
      <c r="AK57" s="366">
        <f ca="1">SUMIF($AC$25:$AE$55,AI57,$AE$25:$AE$55)+SUMIF($AF$25:$AH$55,AI57,$AH$25:$AH$55)+SUMIF($AI$25:$AK$55,AI57,$AK$25:$AK$55)+SUMIF($AL$25:$AN$55,AI57,$AN$25:$AN$55)+SUMIF($AO$25:$AQ$55,AI57,$AQ$25:$AQ$55)</f>
        <v>0</v>
      </c>
      <c r="AL57" s="310"/>
      <c r="AM57" s="205"/>
      <c r="AN57" s="366">
        <f ca="1">SUMIF($AC$25:$AE$55,AL57,$AE$25:$AE$55)+SUMIF($AF$25:$AH$55,AL57,$AH$25:$AH$55)+SUMIF($AI$25:$AK$55,AL57,$AK$25:$AK$55)+SUMIF($AL$25:$AN$55,AL57,$AN$25:$AN$55)+SUMIF($AO$25:$AQ$55,AL57,$AQ$25:$AQ$55)</f>
        <v>0</v>
      </c>
      <c r="AO57" s="485"/>
      <c r="AP57" s="205"/>
      <c r="AQ57" s="367">
        <f ca="1">SUMIF($AC$25:$AE$55,AO57,$AE$25:$AE$55)+SUMIF($AF$25:$AH$55,AO57,$AH$25:$AH$55)+SUMIF($AI$25:$AK$55,AO57,$AK$25:$AK$55)+SUMIF($AL$25:$AN$55,AO57,$AN$25:$AN$55)+SUMIF($AO$25:$AQ$55,AO57,$AQ$25:$AQ$55)</f>
        <v>0</v>
      </c>
      <c r="AR57" s="368"/>
      <c r="AU57" s="43"/>
      <c r="AV57" s="43"/>
    </row>
    <row r="58" spans="2:48" ht="17.25" customHeight="1" thickBot="1">
      <c r="C58" s="507"/>
      <c r="D58" s="94"/>
      <c r="E58" s="95" t="s">
        <v>92</v>
      </c>
      <c r="F58" s="31"/>
      <c r="G58" s="96"/>
      <c r="H58" s="345" t="s">
        <v>93</v>
      </c>
      <c r="I58" s="97"/>
      <c r="J58" s="97"/>
      <c r="K58" s="97"/>
      <c r="L58" s="97"/>
      <c r="M58" s="97"/>
      <c r="N58" s="97"/>
      <c r="O58" s="240">
        <f>IF(H50="&lt;NG&gt;",0,IF(T50-SUM(P50:S50)&gt;$AV$8,T50-SUM(P50:S50)-$AV$8,0))</f>
        <v>0</v>
      </c>
      <c r="P58" s="98" t="s">
        <v>88</v>
      </c>
      <c r="Q58" s="241">
        <f>$AV$5</f>
        <v>2500</v>
      </c>
      <c r="R58" s="99" t="s">
        <v>94</v>
      </c>
      <c r="S58" s="99"/>
      <c r="T58" s="96"/>
      <c r="U58" s="546">
        <f>IF(O58&lt;&gt;"",Q58*O58,"")</f>
        <v>0</v>
      </c>
      <c r="V58" s="547"/>
      <c r="W58" s="548"/>
      <c r="X58" s="549"/>
      <c r="Y58" s="550"/>
      <c r="AA58" s="113" t="str">
        <f>IF($Y$1=1,"*",IF($Y$1=2,"*",IF($Y$1=4,"*",IF($Y$1=6,"*",IF($Y$1=8,"*",IF($Y$1=9,"*",IF($Y$1=11,"*","")))))))</f>
        <v>*</v>
      </c>
      <c r="AC58" s="114" t="s">
        <v>113</v>
      </c>
      <c r="AD58" s="206"/>
      <c r="AE58" s="369">
        <f ca="1">IF($AR$59=0,"-",AE57/$AR$59)</f>
        <v>1</v>
      </c>
      <c r="AF58" s="115"/>
      <c r="AG58" s="206"/>
      <c r="AH58" s="369">
        <f ca="1">IF($AR$59=0,"-",AH57/$AR$59)</f>
        <v>0</v>
      </c>
      <c r="AI58" s="115"/>
      <c r="AJ58" s="206"/>
      <c r="AK58" s="369">
        <f ca="1">IF($AR$59=0,"-",AK57/$AR$59)</f>
        <v>0</v>
      </c>
      <c r="AL58" s="115"/>
      <c r="AM58" s="206"/>
      <c r="AN58" s="369">
        <f ca="1">IF($AR$59=0,"-",AN57/$AR$59)</f>
        <v>0</v>
      </c>
      <c r="AO58" s="115"/>
      <c r="AP58" s="206"/>
      <c r="AQ58" s="369">
        <f ca="1">IF($AR$59=0,"-",AQ57/$AR$59)</f>
        <v>0</v>
      </c>
      <c r="AR58" s="370"/>
    </row>
    <row r="59" spans="2:48" ht="17.25" customHeight="1" thickBot="1">
      <c r="R59" s="100" t="s">
        <v>95</v>
      </c>
      <c r="S59" s="101"/>
      <c r="T59" s="102"/>
      <c r="U59" s="500">
        <f>IF(H50="&lt;NG&gt;","",SUM(U53:V57)-IF(U58="",0,U58))</f>
        <v>400000</v>
      </c>
      <c r="V59" s="501"/>
      <c r="W59" s="502" t="s">
        <v>96</v>
      </c>
      <c r="X59" s="503"/>
      <c r="Y59" s="504"/>
      <c r="AC59" s="243"/>
      <c r="AD59" s="207"/>
      <c r="AE59" s="371">
        <f ca="1">SUMIF($AC$25:$AE$55,AC59,$AE$25:$AE$55)+SUMIF($AF$25:$AH$55,AC59,$AH$25:$AH$55)+SUMIF($AI$25:$AK$55,AC59,$AK$25:$AK$55)+SUMIF($AL$25:$AN$55,AC59,$AN$25:$AN$55)+SUMIF($AO$25:$AQ$55,AC59,$AQ$25:$AQ$55)</f>
        <v>0</v>
      </c>
      <c r="AF59" s="310"/>
      <c r="AG59" s="207"/>
      <c r="AH59" s="371">
        <f ca="1">SUMIF($AC$25:$AE$55,AF59,$AE$25:$AE$55)+SUMIF($AF$25:$AH$55,AF59,$AH$25:$AH$55)+SUMIF($AI$25:$AK$55,AF59,$AK$25:$AK$55)+SUMIF($AL$25:$AN$55,AF59,$AN$25:$AN$55)+SUMIF($AO$25:$AQ$55,AF59,$AQ$25:$AQ$55)</f>
        <v>0</v>
      </c>
      <c r="AI59" s="310"/>
      <c r="AJ59" s="207"/>
      <c r="AK59" s="371">
        <f ca="1">SUMIF($AC$25:$AE$55,AI59,$AE$25:$AE$55)+SUMIF($AF$25:$AH$55,AI59,$AH$25:$AH$55)+SUMIF($AI$25:$AK$55,AI59,$AK$25:$AK$55)+SUMIF($AL$25:$AN$55,AI59,$AN$25:$AN$55)+SUMIF($AO$25:$AQ$55,AI59,$AQ$25:$AQ$55)</f>
        <v>0</v>
      </c>
      <c r="AL59" s="310"/>
      <c r="AM59" s="207"/>
      <c r="AN59" s="371">
        <f ca="1">SUMIF($AC$25:$AE$55,AL59,$AE$25:$AE$55)+SUMIF($AF$25:$AH$55,AL59,$AH$25:$AH$55)+SUMIF($AI$25:$AK$55,AL59,$AK$25:$AK$55)+SUMIF($AL$25:$AN$55,AL59,$AN$25:$AN$55)+SUMIF($AO$25:$AQ$55,AL59,$AQ$25:$AQ$55)</f>
        <v>0</v>
      </c>
      <c r="AO59" s="310"/>
      <c r="AP59" s="207"/>
      <c r="AQ59" s="371">
        <f ca="1">SUMIF($AC$25:$AE$55,AO59,$AE$25:$AE$55)+SUMIF($AF$25:$AH$55,AO59,$AH$25:$AH$55)+SUMIF($AI$25:$AK$55,AO59,$AK$25:$AK$55)+SUMIF($AL$25:$AN$55,AO59,$AN$25:$AN$55)+SUMIF($AO$25:$AQ$55,AO59,$AQ$25:$AQ$55)</f>
        <v>0</v>
      </c>
      <c r="AR59" s="365">
        <f ca="1">AE57+AH57+AK57+AN57+AQ57+AE59+AH59+AK59+AN59+AQ59</f>
        <v>128.25</v>
      </c>
      <c r="AU59" s="124"/>
      <c r="AV59" s="124"/>
    </row>
    <row r="60" spans="2:48" ht="17.25" customHeight="1" thickBot="1">
      <c r="B60" s="531" t="s">
        <v>97</v>
      </c>
      <c r="C60" s="531"/>
      <c r="D60" s="531"/>
      <c r="E60" s="531"/>
      <c r="F60" s="531"/>
      <c r="G60" s="531"/>
      <c r="H60" s="531"/>
      <c r="I60" s="531"/>
      <c r="J60" s="531"/>
      <c r="K60" s="531"/>
      <c r="L60" s="531"/>
      <c r="M60" s="531"/>
      <c r="N60" s="531"/>
      <c r="O60" s="531"/>
      <c r="P60" s="531"/>
      <c r="Q60" s="531"/>
      <c r="R60" s="531"/>
      <c r="S60" s="531"/>
      <c r="T60" s="531"/>
      <c r="U60" s="531"/>
      <c r="V60" s="531"/>
      <c r="W60" s="531"/>
      <c r="X60" s="531"/>
      <c r="Y60" s="531"/>
      <c r="AA60" s="113" t="str">
        <f>IF($Y$1=1,"*",IF($Y$1=2,"*",IF($Y$1=4,"*",IF($Y$1=6,"*",IF($Y$1=8,"*",IF($Y$1=9,"*",IF($Y$1=11,"*","")))))))</f>
        <v>*</v>
      </c>
      <c r="AC60" s="116" t="s">
        <v>113</v>
      </c>
      <c r="AD60" s="117"/>
      <c r="AE60" s="372">
        <f ca="1">IF($AR$59=0,"-",AE59/$AR$59)</f>
        <v>0</v>
      </c>
      <c r="AF60" s="118"/>
      <c r="AG60" s="117"/>
      <c r="AH60" s="372">
        <f ca="1">IF($AR$59=0,"-",AH59/$AR$59)</f>
        <v>0</v>
      </c>
      <c r="AI60" s="118"/>
      <c r="AJ60" s="117"/>
      <c r="AK60" s="372">
        <f ca="1">IF($AR$59=0,"-",AK59/$AR$59)</f>
        <v>0</v>
      </c>
      <c r="AL60" s="118"/>
      <c r="AM60" s="117"/>
      <c r="AN60" s="372">
        <f ca="1">IF($AR$59=0,"-",AN59/$AR$59)</f>
        <v>0</v>
      </c>
      <c r="AO60" s="118"/>
      <c r="AP60" s="117"/>
      <c r="AQ60" s="372">
        <f ca="1">IF($AR$59=0,"-",AQ59/$AR$59)</f>
        <v>0</v>
      </c>
      <c r="AR60" s="373" t="str">
        <f ca="1">IF(AA60="*",IF(AR56-AQ56=AR59,"OK","NG"),"")</f>
        <v>OK</v>
      </c>
      <c r="AU60" s="399"/>
      <c r="AV60" s="399"/>
    </row>
    <row r="61" spans="2:48" ht="17.25" customHeight="1" thickBot="1">
      <c r="B61" s="532" t="s">
        <v>98</v>
      </c>
      <c r="C61" s="533"/>
      <c r="D61" s="533"/>
      <c r="E61" s="536" t="s">
        <v>99</v>
      </c>
      <c r="F61" s="537"/>
      <c r="G61" s="537"/>
      <c r="H61" s="537"/>
      <c r="I61" s="537"/>
      <c r="J61" s="537"/>
      <c r="K61" s="537"/>
      <c r="L61" s="537"/>
      <c r="M61" s="537"/>
      <c r="N61" s="537"/>
      <c r="O61" s="537"/>
      <c r="P61" s="537"/>
      <c r="Q61" s="537"/>
      <c r="R61" s="537"/>
      <c r="S61" s="537"/>
      <c r="T61" s="538"/>
      <c r="U61" s="536" t="s">
        <v>100</v>
      </c>
      <c r="V61" s="537"/>
      <c r="W61" s="539"/>
      <c r="AC61" s="119" t="s">
        <v>115</v>
      </c>
      <c r="AD61" s="120"/>
      <c r="AE61" s="121"/>
      <c r="AF61" s="122"/>
      <c r="AG61" s="120"/>
      <c r="AH61" s="121"/>
      <c r="AI61" s="122"/>
      <c r="AJ61" s="120"/>
      <c r="AK61" s="121"/>
      <c r="AL61" s="122"/>
      <c r="AM61" s="120"/>
      <c r="AN61" s="121"/>
      <c r="AO61" s="123" t="s">
        <v>110</v>
      </c>
      <c r="AP61" s="129"/>
      <c r="AQ61" s="364">
        <f ca="1">SUMIF($AC$24:$AE$55,AO61,$AE$24:$AE$55)+SUMIF($AF$24:$AH$55,AO61,$AH$24:$AH$55)+SUMIF($AI$24:$AK$55,AO61,$AK$24:$AK$55)+SUMIF($AL$24:$AN$55,AO61,$AN$24:$AN$55)+SUMIF($AO$24:$AQ$55,AO61,$AQ$24:$AQ$55)</f>
        <v>0</v>
      </c>
      <c r="AR61" s="365">
        <f>SUM(AR24:AR55)</f>
        <v>128.25</v>
      </c>
    </row>
    <row r="62" spans="2:48" ht="22.5" customHeight="1" thickBot="1">
      <c r="B62" s="534"/>
      <c r="C62" s="535"/>
      <c r="D62" s="535"/>
      <c r="E62" s="103" t="s">
        <v>101</v>
      </c>
      <c r="F62" s="425" t="s">
        <v>246</v>
      </c>
      <c r="G62" s="104" t="s">
        <v>102</v>
      </c>
      <c r="H62" s="208" t="s">
        <v>245</v>
      </c>
      <c r="I62" s="105"/>
      <c r="J62" s="105"/>
      <c r="K62" s="105"/>
      <c r="L62" s="105"/>
      <c r="M62" s="105"/>
      <c r="N62" s="105"/>
      <c r="O62" s="67" t="s">
        <v>103</v>
      </c>
      <c r="P62" s="425" t="s">
        <v>221</v>
      </c>
      <c r="Q62" s="106" t="s">
        <v>103</v>
      </c>
      <c r="R62" s="426">
        <v>15.5</v>
      </c>
      <c r="S62" s="107" t="s">
        <v>104</v>
      </c>
      <c r="T62" s="427" t="s">
        <v>247</v>
      </c>
      <c r="U62" s="108" t="s">
        <v>105</v>
      </c>
      <c r="V62" s="425" t="s">
        <v>248</v>
      </c>
      <c r="W62" s="209" t="s">
        <v>222</v>
      </c>
      <c r="AC62" s="309"/>
      <c r="AD62" s="205"/>
      <c r="AE62" s="366">
        <f ca="1">SUMIF($AC$24:$AE$55,AC62,$AE$24:$AE$55)+SUMIF($AF$24:$AH$55,AC62,$AH$24:$AH$55)+SUMIF($AI$24:$AK$55,AC62,$AK$24:$AK$55)+SUMIF($AL$24:$AN$55,AC62,$AN$24:$AN$55)+SUMIF($AO$24:$AQ$55,AC62,$AQ$24:$AQ$55)</f>
        <v>0</v>
      </c>
      <c r="AF62" s="310"/>
      <c r="AG62" s="205"/>
      <c r="AH62" s="366">
        <f ca="1">SUMIF($AC$24:$AE$55,AF62,$AE$24:$AE$55)+SUMIF($AF$24:$AH$55,AF62,$AH$24:$AH$55)+SUMIF($AI$24:$AK$55,AF62,$AK$24:$AK$55)+SUMIF($AL$24:$AN$55,AF62,$AN$24:$AN$55)+SUMIF($AO$24:$AQ$55,AF62,$AQ$24:$AQ$55)</f>
        <v>0</v>
      </c>
      <c r="AI62" s="310"/>
      <c r="AJ62" s="205"/>
      <c r="AK62" s="366">
        <f ca="1">SUMIF($AC$24:$AE$55,AI62,$AE$24:$AE$55)+SUMIF($AF$24:$AH$55,AI62,$AH$24:$AH$55)+SUMIF($AI$24:$AK$55,AI62,$AK$24:$AK$55)+SUMIF($AL$24:$AN$55,AI62,$AN$24:$AN$55)+SUMIF($AO$24:$AQ$55,AI62,$AQ$24:$AQ$55)</f>
        <v>0</v>
      </c>
      <c r="AL62" s="310"/>
      <c r="AM62" s="205"/>
      <c r="AN62" s="366">
        <f ca="1">SUMIF($AC$24:$AE$55,AL62,$AE$24:$AE$55)+SUMIF($AF$24:$AH$55,AL62,$AH$24:$AH$55)+SUMIF($AI$24:$AK$55,AL62,$AK$24:$AK$55)+SUMIF($AL$24:$AN$55,AL62,$AN$24:$AN$55)+SUMIF($AO$24:$AQ$55,AL62,$AQ$24:$AQ$55)</f>
        <v>0</v>
      </c>
      <c r="AO62" s="310"/>
      <c r="AP62" s="205"/>
      <c r="AQ62" s="367">
        <f ca="1">SUMIF($AC$24:$AE$55,AO62,$AE$24:$AE$55)+SUMIF($AF$24:$AH$55,AO62,$AH$24:$AH$55)+SUMIF($AI$24:$AK$55,AO62,$AK$24:$AK$55)+SUMIF($AL$24:$AN$55,AO62,$AN$24:$AN$55)+SUMIF($AO$24:$AQ$55,AO62,$AQ$24:$AQ$55)</f>
        <v>0</v>
      </c>
      <c r="AR62" s="368"/>
    </row>
    <row r="63" spans="2:48" ht="17.25" customHeight="1" thickBot="1">
      <c r="B63" s="540"/>
      <c r="C63" s="541"/>
      <c r="D63" s="542"/>
      <c r="E63" s="395" t="s">
        <v>223</v>
      </c>
      <c r="F63" s="109" t="s">
        <v>224</v>
      </c>
      <c r="G63" s="109" t="s">
        <v>225</v>
      </c>
      <c r="H63" s="109" t="s">
        <v>226</v>
      </c>
      <c r="I63" s="109" t="s">
        <v>227</v>
      </c>
      <c r="J63" s="109" t="s">
        <v>228</v>
      </c>
      <c r="K63" s="109" t="s">
        <v>229</v>
      </c>
      <c r="L63" s="109" t="s">
        <v>223</v>
      </c>
      <c r="M63" s="109" t="s">
        <v>229</v>
      </c>
      <c r="N63" s="109" t="s">
        <v>223</v>
      </c>
      <c r="O63" s="109" t="s">
        <v>230</v>
      </c>
      <c r="P63" s="109" t="s">
        <v>231</v>
      </c>
      <c r="Q63" s="109" t="s">
        <v>232</v>
      </c>
      <c r="R63" s="109" t="s">
        <v>233</v>
      </c>
      <c r="S63" s="109" t="s">
        <v>234</v>
      </c>
      <c r="T63" s="109" t="s">
        <v>227</v>
      </c>
      <c r="U63" s="109" t="s">
        <v>228</v>
      </c>
      <c r="V63" s="49" t="s">
        <v>229</v>
      </c>
      <c r="W63" s="110" t="s">
        <v>106</v>
      </c>
      <c r="AA63" s="113" t="str">
        <f>IF($Y$1=5,"*",IF($Y$1=7,"*",IF($Y$1=10,"*",IF($Y$1=12,"*",""))))</f>
        <v/>
      </c>
      <c r="AC63" s="114" t="s">
        <v>113</v>
      </c>
      <c r="AD63" s="206"/>
      <c r="AE63" s="369" t="str">
        <f ca="1">IF($AR$64=0,"-",AE62/$AR$64)</f>
        <v>-</v>
      </c>
      <c r="AF63" s="115"/>
      <c r="AG63" s="206"/>
      <c r="AH63" s="369" t="str">
        <f ca="1">IF($AR$64=0,"-",AH62/$AR$64)</f>
        <v>-</v>
      </c>
      <c r="AI63" s="115"/>
      <c r="AJ63" s="206"/>
      <c r="AK63" s="369" t="str">
        <f ca="1">IF($AR$64=0,"-",AK62/$AR$64)</f>
        <v>-</v>
      </c>
      <c r="AL63" s="115"/>
      <c r="AM63" s="206"/>
      <c r="AN63" s="369" t="str">
        <f ca="1">IF($AR$64=0,"-",AN62/$AR$64)</f>
        <v>-</v>
      </c>
      <c r="AO63" s="115"/>
      <c r="AP63" s="206"/>
      <c r="AQ63" s="369" t="str">
        <f ca="1">IF($AR$64=0,"-",AQ62/$AR$64)</f>
        <v>-</v>
      </c>
      <c r="AR63" s="370"/>
    </row>
    <row r="64" spans="2:48" ht="17.25" customHeight="1" thickBot="1">
      <c r="B64" s="543" t="s">
        <v>107</v>
      </c>
      <c r="C64" s="544"/>
      <c r="D64" s="545"/>
      <c r="E64" s="342">
        <v>0</v>
      </c>
      <c r="F64" s="342">
        <v>0</v>
      </c>
      <c r="G64" s="342">
        <v>0</v>
      </c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96"/>
      <c r="W64" s="397">
        <f>SUM(E64:V64)</f>
        <v>0</v>
      </c>
      <c r="Z64" s="43"/>
      <c r="AC64" s="243"/>
      <c r="AD64" s="207"/>
      <c r="AE64" s="371">
        <f ca="1">SUMIF($AC$24:$AE$55,AC64,$AE$24:$AE$55)+SUMIF($AF$24:$AH$55,AC64,$AH$24:$AH$55)+SUMIF($AI$24:$AK$55,AC64,$AK$24:$AK$55)+SUMIF($AL$24:$AN$55,AC64,$AN$24:$AN$55)+SUMIF($AO$24:$AQ$55,AC64,$AQ$24:$AQ$55)</f>
        <v>0</v>
      </c>
      <c r="AF64" s="310"/>
      <c r="AG64" s="207"/>
      <c r="AH64" s="371">
        <f ca="1">SUMIF($AC$24:$AE$55,AF64,$AE$24:$AE$55)+SUMIF($AF$24:$AH$55,AF64,$AH$24:$AH$55)+SUMIF($AI$24:$AK$55,AF64,$AK$24:$AK$55)+SUMIF($AL$24:$AN$55,AF64,$AN$24:$AN$55)+SUMIF($AO$24:$AQ$55,AF64,$AQ$24:$AQ$55)</f>
        <v>0</v>
      </c>
      <c r="AI64" s="310"/>
      <c r="AJ64" s="207"/>
      <c r="AK64" s="371">
        <f ca="1">SUMIF($AC$24:$AE$55,AI64,$AE$24:$AE$55)+SUMIF($AF$24:$AH$55,AI64,$AH$24:$AH$55)+SUMIF($AI$24:$AK$55,AI64,$AK$24:$AK$55)+SUMIF($AL$24:$AN$55,AI64,$AN$24:$AN$55)+SUMIF($AO$24:$AQ$55,AI64,$AQ$24:$AQ$55)</f>
        <v>0</v>
      </c>
      <c r="AL64" s="310"/>
      <c r="AM64" s="207"/>
      <c r="AN64" s="371">
        <f ca="1">SUMIF($AC$24:$AE$55,AL64,$AE$24:$AE$55)+SUMIF($AF$24:$AH$55,AL64,$AH$24:$AH$55)+SUMIF($AI$24:$AK$55,AL64,$AK$24:$AK$55)+SUMIF($AL$24:$AN$55,AL64,$AN$24:$AN$55)+SUMIF($AO$24:$AQ$55,AL64,$AQ$24:$AQ$55)</f>
        <v>0</v>
      </c>
      <c r="AO64" s="310"/>
      <c r="AP64" s="207"/>
      <c r="AQ64" s="371">
        <f ca="1">SUMIF($AC$24:$AE$55,AO64,$AE$24:$AE$55)+SUMIF($AF$24:$AH$55,AO64,$AH$24:$AH$55)+SUMIF($AI$24:$AK$55,AO64,$AK$24:$AK$55)+SUMIF($AL$24:$AN$55,AO64,$AN$24:$AN$55)+SUMIF($AO$24:$AQ$55,AO64,$AQ$24:$AQ$55)</f>
        <v>0</v>
      </c>
      <c r="AR64" s="365">
        <f ca="1">AE62+AH62+AK62+AN62+AQ62+AE64+AH64+AK64+AN64+AQ64</f>
        <v>0</v>
      </c>
    </row>
    <row r="65" spans="2:44" ht="17.25" customHeight="1" thickBot="1">
      <c r="B65" s="525" t="s">
        <v>108</v>
      </c>
      <c r="C65" s="526"/>
      <c r="D65" s="527"/>
      <c r="E65" s="398"/>
      <c r="F65" s="342">
        <v>0</v>
      </c>
      <c r="G65" s="343">
        <f>IF(G64="","",F65+G64)</f>
        <v>0</v>
      </c>
      <c r="H65" s="343" t="str">
        <f>IF(H64="","",G65+H64)</f>
        <v/>
      </c>
      <c r="I65" s="343" t="str">
        <f>IF(I64="","",H64+I64)</f>
        <v/>
      </c>
      <c r="J65" s="343" t="str">
        <f>IF(J64="","",I64+J64)</f>
        <v/>
      </c>
      <c r="K65" s="343" t="str">
        <f>IF(K64="","",J64+K64)</f>
        <v/>
      </c>
      <c r="L65" s="343"/>
      <c r="M65" s="343"/>
      <c r="N65" s="343"/>
      <c r="O65" s="343" t="str">
        <f>IF(O64="","",H65+O64)</f>
        <v/>
      </c>
      <c r="P65" s="343" t="str">
        <f t="shared" ref="P65:V65" si="18">IF(P64="","",O65+P64)</f>
        <v/>
      </c>
      <c r="Q65" s="343" t="str">
        <f t="shared" si="18"/>
        <v/>
      </c>
      <c r="R65" s="343" t="str">
        <f t="shared" si="18"/>
        <v/>
      </c>
      <c r="S65" s="343" t="str">
        <f t="shared" si="18"/>
        <v/>
      </c>
      <c r="T65" s="343" t="str">
        <f t="shared" si="18"/>
        <v/>
      </c>
      <c r="U65" s="343" t="str">
        <f t="shared" si="18"/>
        <v/>
      </c>
      <c r="V65" s="343" t="str">
        <f t="shared" si="18"/>
        <v/>
      </c>
      <c r="W65" s="242"/>
      <c r="Z65" s="43"/>
      <c r="AA65" s="113" t="str">
        <f>IF($Y$1=5,"*",IF($Y$1=7,"*",IF($Y$1=10,"*",IF($Y$1=12,"*",""))))</f>
        <v/>
      </c>
      <c r="AC65" s="116" t="s">
        <v>113</v>
      </c>
      <c r="AD65" s="117"/>
      <c r="AE65" s="372" t="str">
        <f ca="1">IF($AR$64=0,"-",AE64/$AR$64)</f>
        <v>-</v>
      </c>
      <c r="AF65" s="118"/>
      <c r="AG65" s="117"/>
      <c r="AH65" s="372" t="str">
        <f ca="1">IF($AR$64=0,"-",AH64/$AR$64)</f>
        <v>-</v>
      </c>
      <c r="AI65" s="118"/>
      <c r="AJ65" s="117"/>
      <c r="AK65" s="372" t="str">
        <f ca="1">IF($AR$64=0,"-",AK64/$AR$64)</f>
        <v>-</v>
      </c>
      <c r="AL65" s="118"/>
      <c r="AM65" s="117"/>
      <c r="AN65" s="372" t="str">
        <f ca="1">IF($AR$64=0,"-",AN64/$AR$64)</f>
        <v>-</v>
      </c>
      <c r="AO65" s="374"/>
      <c r="AP65" s="117"/>
      <c r="AQ65" s="372" t="str">
        <f ca="1">IF($AR$64=0,"-",AQ64/$AR$64)</f>
        <v>-</v>
      </c>
      <c r="AR65" s="373" t="str">
        <f>IF(AA65="*",IF(AR61-AQ61=AR64,"OK","NG"),"")</f>
        <v/>
      </c>
    </row>
    <row r="66" spans="2:44" ht="20.25" customHeight="1" thickBot="1">
      <c r="B66" s="528" t="s">
        <v>109</v>
      </c>
      <c r="C66" s="529"/>
      <c r="D66" s="530"/>
      <c r="E66" s="210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2"/>
      <c r="W66" s="111">
        <f>COUNTA(E66:H66)+COUNTA(O66:V66)</f>
        <v>0</v>
      </c>
      <c r="Z66" s="43"/>
      <c r="AA66" s="43"/>
      <c r="AB66" s="43"/>
      <c r="AC66" s="119" t="s">
        <v>116</v>
      </c>
      <c r="AD66" s="120"/>
      <c r="AE66" s="121"/>
      <c r="AF66" s="122"/>
      <c r="AG66" s="120"/>
      <c r="AH66" s="121"/>
      <c r="AI66" s="122"/>
      <c r="AJ66" s="120"/>
      <c r="AK66" s="121"/>
      <c r="AL66" s="122"/>
      <c r="AM66" s="120"/>
      <c r="AN66" s="121"/>
      <c r="AO66" s="123" t="s">
        <v>110</v>
      </c>
      <c r="AP66" s="129"/>
      <c r="AQ66" s="364">
        <f ca="1">SUMIF($AC$22:$AE$55,AO66,$AE$22:$AE$55)+SUMIF($AF$22:$AH$55,AO66,$AH$22:$AH$55)+SUMIF($AI$22:$AK$55,AO66,$AK$22:$AK$55)+SUMIF($AL$22:$AN$55,AO66,$AN$22:$AN$55)+SUMIF($AO$22:$AQ$55,AO66,$AQ$22:$AQ$55)</f>
        <v>0</v>
      </c>
      <c r="AR66" s="365">
        <f>SUM(AR22:AR55)</f>
        <v>128.25</v>
      </c>
    </row>
    <row r="67" spans="2:44" ht="18" customHeight="1">
      <c r="B67" s="112" t="s">
        <v>111</v>
      </c>
      <c r="Z67" s="43"/>
      <c r="AA67" s="43"/>
      <c r="AB67" s="43"/>
      <c r="AC67" s="309"/>
      <c r="AD67" s="205"/>
      <c r="AE67" s="366">
        <f ca="1">SUMIF($AC$22:$AE$55,AC67,$AE$22:$AE$55)+SUMIF($AF$22:$AH$55,AC67,$AH$22:$AH$55)+SUMIF($AI$22:$AK$55,AC67,$AK$22:$AK$55)+SUMIF($AL$22:$AN$55,AC67,$AN$22:$AN$55)+SUMIF($AO$22:$AQ$55,AC67,$AQ$22:$AQ$55)</f>
        <v>0</v>
      </c>
      <c r="AF67" s="310"/>
      <c r="AG67" s="205"/>
      <c r="AH67" s="366">
        <f ca="1">SUMIF($AC$22:$AE$55,AF67,$AE$22:$AE$55)+SUMIF($AF$22:$AH$55,AF67,$AH$22:$AH$55)+SUMIF($AI$22:$AK$55,AF67,$AK$22:$AK$55)+SUMIF($AL$22:$AN$55,AF67,$AN$22:$AN$55)+SUMIF($AO$22:$AQ$55,AF67,$AQ$22:$AQ$55)</f>
        <v>0</v>
      </c>
      <c r="AI67" s="310"/>
      <c r="AJ67" s="205"/>
      <c r="AK67" s="366">
        <f ca="1">SUMIF($AC$22:$AE$55,AI67,$AE$22:$AE$55)+SUMIF($AF$22:$AH$55,AI67,$AH$22:$AH$55)+SUMIF($AI$22:$AK$55,AI67,$AK$22:$AK$55)+SUMIF($AL$22:$AN$55,AI67,$AN$22:$AN$55)+SUMIF($AO$22:$AQ$55,AI67,$AQ$22:$AQ$55)</f>
        <v>0</v>
      </c>
      <c r="AL67" s="310"/>
      <c r="AM67" s="205"/>
      <c r="AN67" s="366">
        <f ca="1">SUMIF($AC$22:$AE$55,AL67,$AE$22:$AE$55)+SUMIF($AF$22:$AH$55,AL67,$AH$22:$AH$55)+SUMIF($AI$22:$AK$55,AL67,$AK$22:$AK$55)+SUMIF($AL$22:$AN$55,AL67,$AN$22:$AN$55)+SUMIF($AO$22:$AQ$55,AL67,$AQ$22:$AQ$55)</f>
        <v>0</v>
      </c>
      <c r="AO67" s="310"/>
      <c r="AP67" s="205"/>
      <c r="AQ67" s="367">
        <f ca="1">SUMIF($AC$22:$AE$55,AO67,$AE$22:$AE$55)+SUMIF($AF$22:$AH$55,AO67,$AH$22:$AH$55)+SUMIF($AI$22:$AK$55,AO67,$AK$22:$AK$55)+SUMIF($AL$22:$AN$55,AO67,$AN$22:$AN$55)+SUMIF($AO$22:$AQ$55,AO67,$AQ$22:$AQ$55)</f>
        <v>0</v>
      </c>
      <c r="AR67" s="375"/>
    </row>
    <row r="68" spans="2:44" ht="16.5" customHeight="1" thickBot="1">
      <c r="C68" s="20" t="s">
        <v>112</v>
      </c>
      <c r="Z68" s="43"/>
      <c r="AA68" s="113" t="str">
        <f>IF($Y$1=3,"*","")</f>
        <v/>
      </c>
      <c r="AB68" s="43"/>
      <c r="AC68" s="114" t="s">
        <v>113</v>
      </c>
      <c r="AD68" s="206"/>
      <c r="AE68" s="369" t="str">
        <f ca="1">IF($AR$69=0,"-",AE67/$AR$69)</f>
        <v>-</v>
      </c>
      <c r="AF68" s="115"/>
      <c r="AG68" s="206"/>
      <c r="AH68" s="369" t="str">
        <f ca="1">IF($AR$69=0,"-",AH67/$AR$69)</f>
        <v>-</v>
      </c>
      <c r="AI68" s="115"/>
      <c r="AJ68" s="206"/>
      <c r="AK68" s="369" t="str">
        <f ca="1">IF($AR$69=0,"-",AK67/$AR$69)</f>
        <v>-</v>
      </c>
      <c r="AL68" s="115"/>
      <c r="AM68" s="206"/>
      <c r="AN68" s="369" t="str">
        <f ca="1">IF($AR$69=0,"-",AN67/$AR$69)</f>
        <v>-</v>
      </c>
      <c r="AO68" s="115"/>
      <c r="AP68" s="206"/>
      <c r="AQ68" s="369" t="str">
        <f ca="1">IF($AR$69=0,"-",AQ67/$AR$69)</f>
        <v>-</v>
      </c>
      <c r="AR68" s="370"/>
    </row>
    <row r="69" spans="2:44" ht="16.5" customHeight="1" thickBot="1">
      <c r="C69" s="20" t="s">
        <v>114</v>
      </c>
      <c r="AC69" s="243"/>
      <c r="AD69" s="207"/>
      <c r="AE69" s="371">
        <f ca="1">SUMIF($AC$22:$AE$55,AC69,$AE$22:$AE$55)+SUMIF($AF$22:$AH$55,AC69,$AH$22:$AH$55)+SUMIF($AI$22:$AK$55,AC69,$AK$22:$AK$55)+SUMIF($AL$22:$AN$55,AC69,$AN$22:$AN$55)+SUMIF($AO$22:$AQ$55,AC69,$AQ$22:$AQ$55)</f>
        <v>0</v>
      </c>
      <c r="AF69" s="310"/>
      <c r="AG69" s="207"/>
      <c r="AH69" s="371">
        <f ca="1">SUMIF($AC$22:$AE$55,AF69,$AE$22:$AE$55)+SUMIF($AF$22:$AH$55,AF69,$AH$22:$AH$55)+SUMIF($AI$22:$AK$55,AF69,$AK$22:$AK$55)+SUMIF($AL$22:$AN$55,AF69,$AN$22:$AN$55)+SUMIF($AO$22:$AQ$55,AF69,$AQ$22:$AQ$55)</f>
        <v>0</v>
      </c>
      <c r="AI69" s="310"/>
      <c r="AJ69" s="207"/>
      <c r="AK69" s="371">
        <f ca="1">SUMIF($AC$22:$AE$55,AI69,$AE$22:$AE$55)+SUMIF($AF$22:$AH$55,AI69,$AH$22:$AH$55)+SUMIF($AI$22:$AK$55,AI69,$AK$22:$AK$55)+SUMIF($AL$22:$AN$55,AI69,$AN$22:$AN$55)+SUMIF($AO$22:$AQ$55,AI69,$AQ$22:$AQ$55)</f>
        <v>0</v>
      </c>
      <c r="AL69" s="310"/>
      <c r="AM69" s="207"/>
      <c r="AN69" s="371">
        <f ca="1">SUMIF($AC$22:$AE$55,AL69,$AE$22:$AE$55)+SUMIF($AF$22:$AH$55,AL69,$AH$22:$AH$55)+SUMIF($AI$22:$AK$55,AL69,$AK$22:$AK$55)+SUMIF($AL$22:$AN$55,AL69,$AN$22:$AN$55)+SUMIF($AO$22:$AQ$55,AL69,$AQ$22:$AQ$55)</f>
        <v>0</v>
      </c>
      <c r="AO69" s="310"/>
      <c r="AP69" s="207"/>
      <c r="AQ69" s="371">
        <f ca="1">SUMIF($AC$22:$AE$55,AO69,$AE$22:$AE$55)+SUMIF($AF$22:$AH$55,AO69,$AH$22:$AH$55)+SUMIF($AI$22:$AK$55,AO69,$AK$22:$AK$55)+SUMIF($AL$22:$AN$55,AO69,$AN$22:$AN$55)+SUMIF($AO$22:$AQ$55,AO69,$AQ$22:$AQ$55)</f>
        <v>0</v>
      </c>
      <c r="AR69" s="365">
        <f ca="1">AE67+AH67+AK67+AN67+AQ67+AE69+AH69+AK69+AN69+AQ69</f>
        <v>0</v>
      </c>
    </row>
    <row r="70" spans="2:44" ht="16.5" customHeight="1" thickBot="1">
      <c r="Z70" s="124"/>
      <c r="AA70" s="113" t="str">
        <f>IF($Y$1=3,"*","")</f>
        <v/>
      </c>
      <c r="AB70" s="124"/>
      <c r="AC70" s="116" t="s">
        <v>113</v>
      </c>
      <c r="AD70" s="117"/>
      <c r="AE70" s="372" t="str">
        <f ca="1">IF($AR$69=0,"-",AE69/$AR$69)</f>
        <v>-</v>
      </c>
      <c r="AF70" s="118"/>
      <c r="AG70" s="117"/>
      <c r="AH70" s="372" t="str">
        <f ca="1">IF($AR$69=0,"-",AH69/$AR$69)</f>
        <v>-</v>
      </c>
      <c r="AI70" s="118"/>
      <c r="AJ70" s="117"/>
      <c r="AK70" s="372" t="str">
        <f ca="1">IF($AR$69=0,"-",AK69/$AR$69)</f>
        <v>-</v>
      </c>
      <c r="AL70" s="118"/>
      <c r="AM70" s="117"/>
      <c r="AN70" s="372" t="str">
        <f ca="1">IF($AR$69=0,"-",AN69/$AR$69)</f>
        <v>-</v>
      </c>
      <c r="AO70" s="118"/>
      <c r="AP70" s="117"/>
      <c r="AQ70" s="372" t="str">
        <f ca="1">IF($AR$69=0,"-",AQ69/$AR$69)</f>
        <v>-</v>
      </c>
      <c r="AR70" s="373" t="str">
        <f>IF(AA70="*",IF(AR66-AQ66=AR69,"OK","NG"),"")</f>
        <v/>
      </c>
    </row>
    <row r="71" spans="2:44">
      <c r="AG71" s="466"/>
    </row>
    <row r="72" spans="2:44" ht="15" customHeight="1">
      <c r="O72" s="20" t="s">
        <v>263</v>
      </c>
      <c r="AC72" s="473" t="s">
        <v>296</v>
      </c>
      <c r="AD72" s="474" t="s">
        <v>297</v>
      </c>
      <c r="AE72" s="474" t="s">
        <v>294</v>
      </c>
      <c r="AF72" s="473" t="s">
        <v>291</v>
      </c>
    </row>
    <row r="73" spans="2:44" ht="15" customHeight="1">
      <c r="Q73" s="96" t="s">
        <v>269</v>
      </c>
      <c r="R73" s="96" t="s">
        <v>258</v>
      </c>
      <c r="AC73" s="475">
        <f>IF($AA$58="*",AC57,IF($AA$63="*",AC62,AC67))</f>
        <v>387605022</v>
      </c>
      <c r="AD73" s="478" t="str">
        <f>IF($AA$58="*",AD57,IF($AA$63="*",AD62,AD67))</f>
        <v>タブレットPOS端末アプリ</v>
      </c>
      <c r="AE73" s="476">
        <f ca="1">IF($AA$58="*",AE57,IF($AA$63="*",AE62,AE67))</f>
        <v>128.25</v>
      </c>
      <c r="AF73" s="477">
        <f ca="1">IF($AA$58="*",AE58,IF($AA$63="*",AE63,AE68))</f>
        <v>1</v>
      </c>
    </row>
    <row r="74" spans="2:44" ht="15" customHeight="1">
      <c r="O74" s="452" t="s">
        <v>259</v>
      </c>
      <c r="P74" s="451">
        <f>P50</f>
        <v>0</v>
      </c>
      <c r="Q74" s="451">
        <f>IF(P74&gt;$T$50,P74-$T$50,0)</f>
        <v>0</v>
      </c>
      <c r="R74" s="444">
        <f>IF(Q74&gt;$AV$9,Q74-$AV$9,0)</f>
        <v>0</v>
      </c>
      <c r="AC74" s="475">
        <f>IF($AA$58="*",AF57,IF($AA$63="*",AF62,AF67))</f>
        <v>0</v>
      </c>
      <c r="AD74" s="478">
        <f>IF($AA$58="*",AG57,IF($AA$63="*",AG62,AG67))</f>
        <v>0</v>
      </c>
      <c r="AE74" s="476">
        <f ca="1">IF($AA$58="*",AH57,IF($AA$63="*",AH62,AH67))</f>
        <v>0</v>
      </c>
      <c r="AF74" s="477">
        <f ca="1">IF($AA$58="*",AH58,IF($AA$63="*",AH63,AH68))</f>
        <v>0</v>
      </c>
    </row>
    <row r="75" spans="2:44" ht="15" customHeight="1">
      <c r="O75" s="452" t="s">
        <v>260</v>
      </c>
      <c r="P75" s="451">
        <f>Q50</f>
        <v>0</v>
      </c>
      <c r="Q75" s="451">
        <f>IF(SUM($P$74:P75)&gt;$T$50,MIN(SUM($P$74:P75)-$T$50,P75),0)</f>
        <v>0</v>
      </c>
      <c r="R75" s="444">
        <f>IF(SUM($Q$74:Q75)&gt;$AV$9,MIN(SUM($Q$74:Q75)-$AV$9,Q75),0)</f>
        <v>0</v>
      </c>
      <c r="AC75" s="475">
        <f>IF($AA$58="*",AI57,IF($AA$63="*",AI62,AI67))</f>
        <v>0</v>
      </c>
      <c r="AD75" s="478">
        <f>IF($AA$58="*",AJ57,IF($AA$63="*",AJ62,AJ67))</f>
        <v>0</v>
      </c>
      <c r="AE75" s="476">
        <f ca="1">IF($AA$58="*",AK57,IF($AA$63="*",AK62,AK67))</f>
        <v>0</v>
      </c>
      <c r="AF75" s="477">
        <f ca="1">IF($AA$58="*",AK58,IF($AA$63="*",AK63,AK68))</f>
        <v>0</v>
      </c>
    </row>
    <row r="76" spans="2:44" ht="15" customHeight="1">
      <c r="O76" s="452" t="s">
        <v>261</v>
      </c>
      <c r="P76" s="451">
        <f>R50</f>
        <v>0</v>
      </c>
      <c r="Q76" s="451">
        <f>IF(SUM($P$74:P76)&gt;$T$50,MIN(SUM($P$74:P76)-$T$50,P76),0)</f>
        <v>0</v>
      </c>
      <c r="R76" s="444">
        <f>IF(SUM($Q$74:Q76)&gt;$AV$9,MIN(SUM($Q$74:Q76)-$AV$9,Q76),0)</f>
        <v>0</v>
      </c>
      <c r="AC76" s="475">
        <f>IF($AA$58="*",AL57,IF($AA$63="*",AL62,AL67))</f>
        <v>0</v>
      </c>
      <c r="AD76" s="478">
        <f>IF($AA$58="*",AM57,IF($AA$63="*",AM62,AM67))</f>
        <v>0</v>
      </c>
      <c r="AE76" s="476">
        <f ca="1">IF($AA$58="*",AN57,IF($AA$63="*",AN62,AN67))</f>
        <v>0</v>
      </c>
      <c r="AF76" s="477">
        <f ca="1">IF($AA$58="*",AN58,IF($AA$63="*",AN63,AN68))</f>
        <v>0</v>
      </c>
    </row>
    <row r="77" spans="2:44" ht="15" customHeight="1">
      <c r="O77" s="452" t="s">
        <v>262</v>
      </c>
      <c r="P77" s="451">
        <f>S50</f>
        <v>0</v>
      </c>
      <c r="Q77" s="451">
        <f>IF(SUM($P$74:P77)&gt;$T$50,MIN(SUM($P$74:P77)-$T$50,P77),0)</f>
        <v>0</v>
      </c>
      <c r="R77" s="444">
        <f>IF(SUM($Q$74:Q77)&gt;$AV$9,MIN(SUM($Q$74:Q77)-$AV$9,Q77),0)</f>
        <v>0</v>
      </c>
      <c r="AC77" s="475">
        <f>IF($AA$58="*",AO57,IF($AA$63="*",AO62,AO67))</f>
        <v>0</v>
      </c>
      <c r="AD77" s="478">
        <f>IF($AA$58="*",AP57,IF($AA$63="*",AP62,AP67))</f>
        <v>0</v>
      </c>
      <c r="AE77" s="476">
        <f ca="1">IF($AA$58="*",AQ57,IF($AA$63="*",AQ62,AQ67))</f>
        <v>0</v>
      </c>
      <c r="AF77" s="477">
        <f ca="1">IF($AA$58="*",AQ58,IF($AA$63="*",AQ63,AQ68))</f>
        <v>0</v>
      </c>
    </row>
    <row r="78" spans="2:44">
      <c r="O78" s="20" t="s">
        <v>270</v>
      </c>
      <c r="P78" s="453">
        <f>SUM(P74:P77)</f>
        <v>0</v>
      </c>
      <c r="Q78" s="453">
        <f>SUM(Q74:Q77)</f>
        <v>0</v>
      </c>
      <c r="R78" s="453">
        <f>SUM(R74:R77)</f>
        <v>0</v>
      </c>
      <c r="AC78" s="475">
        <f>IF($AA$58="*",AC59,IF($AA$63="*",AC64,AC69))</f>
        <v>0</v>
      </c>
      <c r="AD78" s="478">
        <f>IF($AA$58="*",AD59,IF($AA$63="*",AD64,AD69))</f>
        <v>0</v>
      </c>
      <c r="AE78" s="476">
        <f ca="1">IF($AA$58="*",AE59,IF($AA$63="*",AE64,AE69))</f>
        <v>0</v>
      </c>
      <c r="AF78" s="477">
        <f ca="1">IF($AA$58="*",AE60,IF($AA$63="*",AE65,AE70))</f>
        <v>0</v>
      </c>
    </row>
    <row r="79" spans="2:44">
      <c r="AC79" s="475">
        <f>IF($AA$58="*",AF59,IF($AA$63="*",AF64,AF69))</f>
        <v>0</v>
      </c>
      <c r="AD79" s="478">
        <f>IF($AA$58="*",AG59,IF($AA$63="*",AG64,AG69))</f>
        <v>0</v>
      </c>
      <c r="AE79" s="476">
        <f ca="1">IF($AA$58="*",AH59,IF($AA$63="*",AH64,AH69))</f>
        <v>0</v>
      </c>
      <c r="AF79" s="477">
        <f ca="1">IF($AA$58="*",AH60,IF($AA$63="*",AH65,AH70))</f>
        <v>0</v>
      </c>
    </row>
    <row r="80" spans="2:44">
      <c r="AC80" s="475">
        <f>IF($AA$58="*",AI59,IF($AA$63="*",AI64,AI69))</f>
        <v>0</v>
      </c>
      <c r="AD80" s="478">
        <f>IF($AA$58="*",AJ59,IF($AA$63="*",AJ64,AJ69))</f>
        <v>0</v>
      </c>
      <c r="AE80" s="476">
        <f ca="1">IF($AA$58="*",AK59,IF($AA$63="*",AK64,AK69))</f>
        <v>0</v>
      </c>
      <c r="AF80" s="477">
        <f ca="1">IF($AA$58="*",AK60,IF($AA$63="*",AK65,AK70))</f>
        <v>0</v>
      </c>
    </row>
    <row r="81" spans="29:32">
      <c r="AC81" s="475">
        <f>IF($AA$58="*",AL59,IF($AA$63="*",AL64,AL69))</f>
        <v>0</v>
      </c>
      <c r="AD81" s="478">
        <f>IF($AA$58="*",AM59,IF($AA$63="*",AM64,AM69))</f>
        <v>0</v>
      </c>
      <c r="AE81" s="476">
        <f ca="1">IF($AA$58="*",AN59,IF($AA$63="*",AN64,AN69))</f>
        <v>0</v>
      </c>
      <c r="AF81" s="477">
        <f ca="1">IF($AA$58="*",AN60,IF($AA$63="*",AN65,AN70))</f>
        <v>0</v>
      </c>
    </row>
    <row r="82" spans="29:32">
      <c r="AC82" s="475">
        <f>IF($AA$58="*",AO59,IF($AA$63="*",AO64,AO69))</f>
        <v>0</v>
      </c>
      <c r="AD82" s="478">
        <f>IF($AA$58="*",AP59,IF($AA$63="*",AP64,AP69))</f>
        <v>0</v>
      </c>
      <c r="AE82" s="476">
        <f ca="1">IF($AA$58="*",AQ59,IF($AA$63="*",AQ64,AQ69))</f>
        <v>0</v>
      </c>
      <c r="AF82" s="477">
        <f ca="1">IF($AA$58="*",AQ60,IF($AA$63="*",AQ65,AQ70))</f>
        <v>0</v>
      </c>
    </row>
  </sheetData>
  <mergeCells count="100">
    <mergeCell ref="A1:A28"/>
    <mergeCell ref="G1:T2"/>
    <mergeCell ref="V2:W2"/>
    <mergeCell ref="H3:O3"/>
    <mergeCell ref="Q3:R3"/>
    <mergeCell ref="F5:P5"/>
    <mergeCell ref="R5:T5"/>
    <mergeCell ref="U5:Y5"/>
    <mergeCell ref="F6:P6"/>
    <mergeCell ref="R6:T6"/>
    <mergeCell ref="U6:Y6"/>
    <mergeCell ref="F7:P7"/>
    <mergeCell ref="R7:T7"/>
    <mergeCell ref="U7:Y7"/>
    <mergeCell ref="F8:P8"/>
    <mergeCell ref="R8:T8"/>
    <mergeCell ref="U8:Y8"/>
    <mergeCell ref="V14:W14"/>
    <mergeCell ref="F9:P9"/>
    <mergeCell ref="R9:T9"/>
    <mergeCell ref="U9:Y9"/>
    <mergeCell ref="Q12:R12"/>
    <mergeCell ref="U12:U13"/>
    <mergeCell ref="V12:W13"/>
    <mergeCell ref="X12:X13"/>
    <mergeCell ref="Y12:Y13"/>
    <mergeCell ref="B12:C12"/>
    <mergeCell ref="D12:D13"/>
    <mergeCell ref="E12:G12"/>
    <mergeCell ref="H12:H13"/>
    <mergeCell ref="O12:P12"/>
    <mergeCell ref="AC12:AR12"/>
    <mergeCell ref="AS12:AS13"/>
    <mergeCell ref="V26:W26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38:W38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O48:O49"/>
    <mergeCell ref="T48:T49"/>
    <mergeCell ref="U48:U49"/>
    <mergeCell ref="Z43:AA43"/>
    <mergeCell ref="V39:W39"/>
    <mergeCell ref="V40:W40"/>
    <mergeCell ref="V41:W41"/>
    <mergeCell ref="V42:W42"/>
    <mergeCell ref="V43:W43"/>
    <mergeCell ref="B45:G45"/>
    <mergeCell ref="E48:E49"/>
    <mergeCell ref="F48:F49"/>
    <mergeCell ref="G48:G49"/>
    <mergeCell ref="H48:H49"/>
    <mergeCell ref="W57:Y57"/>
    <mergeCell ref="U58:V58"/>
    <mergeCell ref="W58:Y58"/>
    <mergeCell ref="AB43:AB44"/>
    <mergeCell ref="V44:W44"/>
    <mergeCell ref="B65:D65"/>
    <mergeCell ref="B66:D66"/>
    <mergeCell ref="B60:Y60"/>
    <mergeCell ref="B61:D62"/>
    <mergeCell ref="E61:T61"/>
    <mergeCell ref="U61:W61"/>
    <mergeCell ref="B63:D63"/>
    <mergeCell ref="B64:D64"/>
    <mergeCell ref="V3:W3"/>
    <mergeCell ref="F10:P10"/>
    <mergeCell ref="B10:E10"/>
    <mergeCell ref="U59:V59"/>
    <mergeCell ref="W59:Y59"/>
    <mergeCell ref="C52:C58"/>
    <mergeCell ref="W52:Y52"/>
    <mergeCell ref="U53:V53"/>
    <mergeCell ref="W53:Y53"/>
    <mergeCell ref="U54:V54"/>
    <mergeCell ref="W54:Y54"/>
    <mergeCell ref="U55:V55"/>
    <mergeCell ref="W55:Y55"/>
    <mergeCell ref="U56:V56"/>
    <mergeCell ref="W56:Y56"/>
    <mergeCell ref="U57:V57"/>
  </mergeCells>
  <phoneticPr fontId="2"/>
  <conditionalFormatting sqref="B14:C44">
    <cfRule type="expression" dxfId="10" priority="7" stopIfTrue="1">
      <formula>$D14="*"</formula>
    </cfRule>
  </conditionalFormatting>
  <conditionalFormatting sqref="D14:D44">
    <cfRule type="expression" dxfId="9" priority="9" stopIfTrue="1">
      <formula>D14="日"</formula>
    </cfRule>
    <cfRule type="expression" dxfId="8" priority="10" stopIfTrue="1">
      <formula>D14="土"</formula>
    </cfRule>
  </conditionalFormatting>
  <conditionalFormatting sqref="Z45:AA55">
    <cfRule type="expression" dxfId="7" priority="8" stopIfTrue="1">
      <formula>$AB45="*"</formula>
    </cfRule>
  </conditionalFormatting>
  <conditionalFormatting sqref="AC14:AQ44">
    <cfRule type="expression" dxfId="6" priority="6" stopIfTrue="1">
      <formula>$AS14="不"</formula>
    </cfRule>
  </conditionalFormatting>
  <conditionalFormatting sqref="AC48">
    <cfRule type="expression" dxfId="4" priority="5" stopIfTrue="1">
      <formula>$AS48="不"</formula>
    </cfRule>
  </conditionalFormatting>
  <conditionalFormatting sqref="AC49">
    <cfRule type="expression" dxfId="3" priority="4" stopIfTrue="1">
      <formula>$AS49="不"</formula>
    </cfRule>
  </conditionalFormatting>
  <conditionalFormatting sqref="AC52">
    <cfRule type="expression" dxfId="2" priority="3" stopIfTrue="1">
      <formula>$AS52="不"</formula>
    </cfRule>
  </conditionalFormatting>
  <conditionalFormatting sqref="AC53">
    <cfRule type="expression" dxfId="1" priority="2" stopIfTrue="1">
      <formula>$AS53="不"</formula>
    </cfRule>
  </conditionalFormatting>
  <conditionalFormatting sqref="AC54">
    <cfRule type="expression" dxfId="0" priority="1" stopIfTrue="1">
      <formula>$AS54="不"</formula>
    </cfRule>
  </conditionalFormatting>
  <dataValidations count="2">
    <dataValidation type="list" allowBlank="1" showInputMessage="1" showErrorMessage="1" sqref="X14:X44 X65546:X65576 X131082:X131112 X196618:X196648 X262154:X262184 X327690:X327720 X393226:X393256 X458762:X458792 X524298:X524328 X589834:X589864 X655370:X655400 X720906:X720936 X786442:X786472 X851978:X852008 X917514:X917544 X983050:X983080" xr:uid="{00000000-0002-0000-0100-000000000000}">
      <formula1>$AE$2:$AE$7</formula1>
    </dataValidation>
    <dataValidation type="time" operator="greaterThanOrEqual" allowBlank="1" showInputMessage="1" showErrorMessage="1" sqref="E14:E44 E65546:E65576 E131082:E131112 E196618:E196648 E262154:E262184 E327690:E327720 E393226:E393256 E458762:E458792 E524298:E524328 E589834:E589864 E655370:E655400 E720906:E720936 E786442:E786472 E851978:E852008 E917514:E917544 E983050:E983080" xr:uid="{00000000-0002-0000-0100-000001000000}">
      <formula1>0.208333333333333</formula1>
    </dataValidation>
  </dataValidations>
  <printOptions horizontalCentered="1"/>
  <pageMargins left="0.28000000000000003" right="0" top="0.26" bottom="0.16" header="0.51181102362204722" footer="0.18"/>
  <pageSetup paperSize="8" scale="70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57"/>
  <sheetViews>
    <sheetView showGridLines="0" zoomScaleNormal="100" zoomScaleSheetLayoutView="100" workbookViewId="0">
      <selection activeCell="F2" sqref="F2:I2"/>
    </sheetView>
  </sheetViews>
  <sheetFormatPr defaultColWidth="9" defaultRowHeight="13.5"/>
  <cols>
    <col min="1" max="1" width="4.5" style="267" customWidth="1"/>
    <col min="2" max="3" width="7.125" style="267" customWidth="1"/>
    <col min="4" max="4" width="19.875" style="267" customWidth="1"/>
    <col min="5" max="5" width="24.75" style="267" customWidth="1"/>
    <col min="6" max="8" width="8.25" style="267" customWidth="1"/>
    <col min="9" max="9" width="8" style="267" customWidth="1"/>
    <col min="10" max="10" width="12.5" style="267" customWidth="1"/>
    <col min="11" max="16384" width="9" style="267"/>
  </cols>
  <sheetData>
    <row r="1" spans="1:12" ht="15.95" customHeight="1">
      <c r="D1" s="626" t="s">
        <v>170</v>
      </c>
      <c r="E1" s="626"/>
      <c r="I1" s="268" t="s">
        <v>171</v>
      </c>
    </row>
    <row r="2" spans="1:12" ht="32.1" customHeight="1">
      <c r="A2" s="627" t="s">
        <v>172</v>
      </c>
      <c r="B2" s="627"/>
      <c r="C2" s="627"/>
      <c r="D2" s="627"/>
      <c r="E2" s="269" t="s">
        <v>173</v>
      </c>
      <c r="F2" s="628" t="s">
        <v>288</v>
      </c>
      <c r="G2" s="628"/>
      <c r="H2" s="628"/>
      <c r="I2" s="628"/>
    </row>
    <row r="3" spans="1:12" ht="20.100000000000001" customHeight="1">
      <c r="A3" s="270"/>
      <c r="B3" s="271"/>
      <c r="C3" s="271"/>
      <c r="D3" s="271"/>
      <c r="E3" s="269" t="s">
        <v>174</v>
      </c>
      <c r="F3" s="629" t="str">
        <f>パラメータ!B4</f>
        <v>グエン ホン ソン</v>
      </c>
      <c r="G3" s="629"/>
      <c r="H3" s="629"/>
      <c r="I3" s="272" t="s">
        <v>175</v>
      </c>
      <c r="L3" s="458"/>
    </row>
    <row r="4" spans="1:12" ht="6" customHeight="1" thickBot="1">
      <c r="A4" s="273"/>
      <c r="B4" s="271"/>
      <c r="C4" s="271"/>
      <c r="D4" s="271"/>
      <c r="E4" s="271"/>
      <c r="F4" s="271"/>
      <c r="G4" s="271"/>
      <c r="H4" s="271"/>
      <c r="I4" s="271"/>
    </row>
    <row r="5" spans="1:12" ht="15" customHeight="1">
      <c r="A5" s="630" t="s">
        <v>176</v>
      </c>
      <c r="B5" s="632" t="s">
        <v>177</v>
      </c>
      <c r="C5" s="633"/>
      <c r="D5" s="274" t="s">
        <v>178</v>
      </c>
      <c r="E5" s="636" t="s">
        <v>179</v>
      </c>
      <c r="F5" s="637"/>
      <c r="G5" s="638" t="s">
        <v>180</v>
      </c>
      <c r="H5" s="638" t="s">
        <v>181</v>
      </c>
      <c r="I5" s="640" t="s">
        <v>182</v>
      </c>
      <c r="J5" s="267" t="s">
        <v>192</v>
      </c>
    </row>
    <row r="6" spans="1:12" ht="15" customHeight="1">
      <c r="A6" s="631"/>
      <c r="B6" s="634"/>
      <c r="C6" s="635"/>
      <c r="D6" s="275" t="s">
        <v>183</v>
      </c>
      <c r="E6" s="276" t="s">
        <v>184</v>
      </c>
      <c r="F6" s="277" t="s">
        <v>182</v>
      </c>
      <c r="G6" s="639"/>
      <c r="H6" s="639"/>
      <c r="I6" s="641"/>
      <c r="J6" s="267" t="s">
        <v>190</v>
      </c>
    </row>
    <row r="7" spans="1:12" ht="15" customHeight="1">
      <c r="A7" s="642"/>
      <c r="B7" s="644"/>
      <c r="C7" s="645"/>
      <c r="D7" s="392"/>
      <c r="E7" s="389"/>
      <c r="F7" s="380"/>
      <c r="G7" s="381"/>
      <c r="H7" s="381"/>
      <c r="I7" s="382" t="str">
        <f>IF(F7="","",SUM(F7:H7))</f>
        <v/>
      </c>
      <c r="J7" s="404"/>
    </row>
    <row r="8" spans="1:12" ht="15" customHeight="1">
      <c r="A8" s="643"/>
      <c r="B8" s="646"/>
      <c r="C8" s="647"/>
      <c r="D8" s="386"/>
      <c r="E8" s="428"/>
      <c r="F8" s="383"/>
      <c r="G8" s="384"/>
      <c r="H8" s="384"/>
      <c r="I8" s="385">
        <f>F8</f>
        <v>0</v>
      </c>
      <c r="J8" s="404"/>
    </row>
    <row r="9" spans="1:12" ht="15" customHeight="1">
      <c r="A9" s="642"/>
      <c r="B9" s="644"/>
      <c r="C9" s="645"/>
      <c r="D9" s="392"/>
      <c r="E9" s="389"/>
      <c r="F9" s="380"/>
      <c r="G9" s="381"/>
      <c r="H9" s="381"/>
      <c r="I9" s="382" t="str">
        <f>IF(F9="","",SUM(F9:H9))</f>
        <v/>
      </c>
      <c r="J9" s="404"/>
    </row>
    <row r="10" spans="1:12" ht="15" customHeight="1">
      <c r="A10" s="643"/>
      <c r="B10" s="646"/>
      <c r="C10" s="647"/>
      <c r="D10" s="386"/>
      <c r="E10" s="428"/>
      <c r="F10" s="383"/>
      <c r="G10" s="384"/>
      <c r="H10" s="384"/>
      <c r="I10" s="385"/>
      <c r="J10" s="404"/>
    </row>
    <row r="11" spans="1:12" ht="15" customHeight="1">
      <c r="A11" s="642"/>
      <c r="B11" s="644"/>
      <c r="C11" s="645"/>
      <c r="D11" s="392"/>
      <c r="E11" s="389"/>
      <c r="F11" s="380"/>
      <c r="G11" s="381"/>
      <c r="H11" s="381"/>
      <c r="I11" s="382" t="str">
        <f>IF(F11="","",SUM(F11:H11))</f>
        <v/>
      </c>
      <c r="J11" s="404"/>
    </row>
    <row r="12" spans="1:12" ht="15" customHeight="1">
      <c r="A12" s="643"/>
      <c r="B12" s="646"/>
      <c r="C12" s="647"/>
      <c r="D12" s="386"/>
      <c r="E12" s="428"/>
      <c r="F12" s="383"/>
      <c r="G12" s="384"/>
      <c r="H12" s="384"/>
      <c r="I12" s="385"/>
      <c r="J12" s="404"/>
      <c r="K12" s="278"/>
    </row>
    <row r="13" spans="1:12" ht="15" customHeight="1">
      <c r="A13" s="642"/>
      <c r="B13" s="644"/>
      <c r="C13" s="645"/>
      <c r="D13" s="392"/>
      <c r="E13" s="389"/>
      <c r="F13" s="380"/>
      <c r="G13" s="381"/>
      <c r="H13" s="381"/>
      <c r="I13" s="382" t="str">
        <f>IF(F13="","",SUM(F13:H13))</f>
        <v/>
      </c>
      <c r="J13" s="404"/>
    </row>
    <row r="14" spans="1:12" ht="15" customHeight="1">
      <c r="A14" s="643"/>
      <c r="B14" s="646"/>
      <c r="C14" s="647"/>
      <c r="D14" s="386"/>
      <c r="E14" s="428"/>
      <c r="F14" s="383"/>
      <c r="G14" s="384"/>
      <c r="H14" s="384"/>
      <c r="I14" s="385"/>
      <c r="J14" s="404"/>
    </row>
    <row r="15" spans="1:12" ht="15" customHeight="1">
      <c r="A15" s="648"/>
      <c r="B15" s="644"/>
      <c r="C15" s="645"/>
      <c r="D15" s="392"/>
      <c r="E15" s="389"/>
      <c r="F15" s="380"/>
      <c r="G15" s="381"/>
      <c r="H15" s="381"/>
      <c r="I15" s="382" t="str">
        <f>IF(F15="","",SUM(F15:H15))</f>
        <v/>
      </c>
      <c r="J15" s="404"/>
    </row>
    <row r="16" spans="1:12" ht="15" customHeight="1">
      <c r="A16" s="649"/>
      <c r="B16" s="646"/>
      <c r="C16" s="647"/>
      <c r="D16" s="386"/>
      <c r="E16" s="428"/>
      <c r="F16" s="383"/>
      <c r="G16" s="384"/>
      <c r="H16" s="384"/>
      <c r="I16" s="385"/>
      <c r="J16" s="404"/>
    </row>
    <row r="17" spans="1:12" ht="15" customHeight="1">
      <c r="A17" s="642"/>
      <c r="B17" s="644"/>
      <c r="C17" s="645"/>
      <c r="D17" s="392"/>
      <c r="E17" s="389"/>
      <c r="F17" s="380"/>
      <c r="G17" s="381"/>
      <c r="H17" s="381"/>
      <c r="I17" s="382" t="str">
        <f>IF(F17="","",SUM(F17:H17))</f>
        <v/>
      </c>
      <c r="J17" s="404"/>
    </row>
    <row r="18" spans="1:12" ht="15" customHeight="1">
      <c r="A18" s="643"/>
      <c r="B18" s="646"/>
      <c r="C18" s="647"/>
      <c r="D18" s="386"/>
      <c r="E18" s="390"/>
      <c r="F18" s="383"/>
      <c r="G18" s="384"/>
      <c r="H18" s="384"/>
      <c r="I18" s="385"/>
      <c r="J18" s="404"/>
      <c r="K18" s="278"/>
    </row>
    <row r="19" spans="1:12" ht="15" customHeight="1">
      <c r="A19" s="648"/>
      <c r="B19" s="644"/>
      <c r="C19" s="645"/>
      <c r="D19" s="392"/>
      <c r="E19" s="389"/>
      <c r="F19" s="380"/>
      <c r="G19" s="381"/>
      <c r="H19" s="381"/>
      <c r="I19" s="382" t="str">
        <f>IF(F19="","",SUM(F19:H19))</f>
        <v/>
      </c>
      <c r="J19" s="404"/>
    </row>
    <row r="20" spans="1:12" ht="15" customHeight="1">
      <c r="A20" s="649"/>
      <c r="B20" s="646"/>
      <c r="C20" s="647"/>
      <c r="D20" s="386"/>
      <c r="E20" s="390"/>
      <c r="F20" s="383"/>
      <c r="G20" s="384"/>
      <c r="H20" s="384"/>
      <c r="I20" s="385"/>
      <c r="J20" s="404"/>
    </row>
    <row r="21" spans="1:12" ht="15" customHeight="1">
      <c r="A21" s="648"/>
      <c r="B21" s="644"/>
      <c r="C21" s="645"/>
      <c r="D21" s="392"/>
      <c r="E21" s="389"/>
      <c r="F21" s="380"/>
      <c r="G21" s="381"/>
      <c r="H21" s="381"/>
      <c r="I21" s="382" t="str">
        <f>IF(F21="","",SUM(F21:H21))</f>
        <v/>
      </c>
      <c r="J21" s="404"/>
    </row>
    <row r="22" spans="1:12" ht="15" customHeight="1">
      <c r="A22" s="649"/>
      <c r="B22" s="646"/>
      <c r="C22" s="647"/>
      <c r="D22" s="386"/>
      <c r="E22" s="390"/>
      <c r="F22" s="383"/>
      <c r="G22" s="384"/>
      <c r="H22" s="384"/>
      <c r="I22" s="385"/>
      <c r="J22" s="404"/>
    </row>
    <row r="23" spans="1:12" ht="15" customHeight="1">
      <c r="A23" s="648"/>
      <c r="B23" s="644"/>
      <c r="C23" s="645"/>
      <c r="D23" s="392"/>
      <c r="E23" s="389"/>
      <c r="F23" s="380"/>
      <c r="G23" s="381"/>
      <c r="H23" s="381"/>
      <c r="I23" s="382" t="str">
        <f>IF(F23="","",SUM(F23:H23))</f>
        <v/>
      </c>
      <c r="J23" s="404"/>
    </row>
    <row r="24" spans="1:12" ht="15" customHeight="1">
      <c r="A24" s="649"/>
      <c r="B24" s="646"/>
      <c r="C24" s="647"/>
      <c r="D24" s="386"/>
      <c r="E24" s="390"/>
      <c r="F24" s="383"/>
      <c r="G24" s="384"/>
      <c r="H24" s="384"/>
      <c r="I24" s="385"/>
      <c r="J24" s="404"/>
    </row>
    <row r="25" spans="1:12" ht="15" customHeight="1">
      <c r="A25" s="648"/>
      <c r="B25" s="644"/>
      <c r="C25" s="645"/>
      <c r="D25" s="392"/>
      <c r="E25" s="389"/>
      <c r="F25" s="380"/>
      <c r="G25" s="381"/>
      <c r="H25" s="381"/>
      <c r="I25" s="382" t="str">
        <f>IF(F25="","",SUM(F25:H25))</f>
        <v/>
      </c>
      <c r="J25" s="404"/>
      <c r="L25" s="279"/>
    </row>
    <row r="26" spans="1:12" ht="15" customHeight="1">
      <c r="A26" s="649"/>
      <c r="B26" s="646"/>
      <c r="C26" s="647"/>
      <c r="D26" s="386"/>
      <c r="E26" s="390"/>
      <c r="F26" s="383"/>
      <c r="G26" s="384"/>
      <c r="H26" s="384"/>
      <c r="I26" s="385"/>
      <c r="J26" s="404"/>
    </row>
    <row r="27" spans="1:12" ht="15" customHeight="1">
      <c r="A27" s="648"/>
      <c r="B27" s="644"/>
      <c r="C27" s="645"/>
      <c r="D27" s="392"/>
      <c r="E27" s="389"/>
      <c r="F27" s="380"/>
      <c r="G27" s="381"/>
      <c r="H27" s="381"/>
      <c r="I27" s="382" t="str">
        <f>IF(F27="","",SUM(F27:H27))</f>
        <v/>
      </c>
      <c r="J27" s="404"/>
    </row>
    <row r="28" spans="1:12" ht="15" customHeight="1">
      <c r="A28" s="649"/>
      <c r="B28" s="646"/>
      <c r="C28" s="647"/>
      <c r="D28" s="386"/>
      <c r="E28" s="390"/>
      <c r="F28" s="383"/>
      <c r="G28" s="384"/>
      <c r="H28" s="384"/>
      <c r="I28" s="385"/>
      <c r="J28" s="404"/>
    </row>
    <row r="29" spans="1:12" ht="15" customHeight="1">
      <c r="A29" s="648"/>
      <c r="B29" s="644"/>
      <c r="C29" s="645"/>
      <c r="D29" s="392"/>
      <c r="E29" s="389"/>
      <c r="F29" s="380"/>
      <c r="G29" s="381"/>
      <c r="H29" s="381"/>
      <c r="I29" s="382" t="str">
        <f>IF(F29="","",SUM(F29:H29))</f>
        <v/>
      </c>
      <c r="J29" s="404"/>
      <c r="L29" s="279"/>
    </row>
    <row r="30" spans="1:12" ht="15" customHeight="1">
      <c r="A30" s="649"/>
      <c r="B30" s="646"/>
      <c r="C30" s="647"/>
      <c r="D30" s="386"/>
      <c r="E30" s="390"/>
      <c r="F30" s="383"/>
      <c r="G30" s="384"/>
      <c r="H30" s="384"/>
      <c r="I30" s="385"/>
      <c r="J30" s="404"/>
    </row>
    <row r="31" spans="1:12" ht="15" customHeight="1">
      <c r="A31" s="648"/>
      <c r="B31" s="644"/>
      <c r="C31" s="645"/>
      <c r="D31" s="392"/>
      <c r="E31" s="389"/>
      <c r="F31" s="380"/>
      <c r="G31" s="381"/>
      <c r="H31" s="381"/>
      <c r="I31" s="382" t="str">
        <f>IF(F31="","",SUM(F31:H31))</f>
        <v/>
      </c>
      <c r="J31" s="404"/>
    </row>
    <row r="32" spans="1:12" ht="15" customHeight="1">
      <c r="A32" s="649"/>
      <c r="B32" s="646"/>
      <c r="C32" s="647"/>
      <c r="D32" s="386"/>
      <c r="E32" s="390"/>
      <c r="F32" s="383"/>
      <c r="G32" s="384"/>
      <c r="H32" s="384"/>
      <c r="I32" s="385"/>
      <c r="J32" s="404"/>
    </row>
    <row r="33" spans="1:12" ht="15" customHeight="1">
      <c r="A33" s="648"/>
      <c r="B33" s="644"/>
      <c r="C33" s="645"/>
      <c r="D33" s="392"/>
      <c r="E33" s="389"/>
      <c r="F33" s="380"/>
      <c r="G33" s="381"/>
      <c r="H33" s="381"/>
      <c r="I33" s="382" t="str">
        <f>IF(F33="","",SUM(F33:H33))</f>
        <v/>
      </c>
      <c r="J33" s="404"/>
    </row>
    <row r="34" spans="1:12" ht="15" customHeight="1">
      <c r="A34" s="649"/>
      <c r="B34" s="646"/>
      <c r="C34" s="647"/>
      <c r="D34" s="386"/>
      <c r="E34" s="390"/>
      <c r="F34" s="383"/>
      <c r="G34" s="384"/>
      <c r="H34" s="384"/>
      <c r="I34" s="385"/>
      <c r="J34" s="404"/>
    </row>
    <row r="35" spans="1:12" ht="15" customHeight="1">
      <c r="A35" s="648"/>
      <c r="B35" s="644"/>
      <c r="C35" s="645"/>
      <c r="D35" s="393"/>
      <c r="E35" s="391"/>
      <c r="F35" s="387"/>
      <c r="G35" s="388"/>
      <c r="H35" s="388"/>
      <c r="I35" s="382" t="str">
        <f>IF(F35="","",SUM(F35:H35))</f>
        <v/>
      </c>
      <c r="J35" s="404"/>
    </row>
    <row r="36" spans="1:12" ht="15" customHeight="1">
      <c r="A36" s="649"/>
      <c r="B36" s="646"/>
      <c r="C36" s="647"/>
      <c r="D36" s="393"/>
      <c r="E36" s="391"/>
      <c r="F36" s="387"/>
      <c r="G36" s="388"/>
      <c r="H36" s="388"/>
      <c r="I36" s="385"/>
      <c r="J36" s="404"/>
    </row>
    <row r="37" spans="1:12" ht="15" customHeight="1">
      <c r="A37" s="648"/>
      <c r="B37" s="644"/>
      <c r="C37" s="645"/>
      <c r="D37" s="392"/>
      <c r="E37" s="389"/>
      <c r="F37" s="380"/>
      <c r="G37" s="381"/>
      <c r="H37" s="381"/>
      <c r="I37" s="382" t="str">
        <f>IF(F37="","",SUM(F37:H37))</f>
        <v/>
      </c>
      <c r="J37" s="404"/>
      <c r="L37" s="279"/>
    </row>
    <row r="38" spans="1:12" ht="15" customHeight="1">
      <c r="A38" s="649"/>
      <c r="B38" s="646"/>
      <c r="C38" s="647"/>
      <c r="D38" s="394"/>
      <c r="E38" s="390"/>
      <c r="F38" s="383"/>
      <c r="G38" s="384"/>
      <c r="H38" s="384"/>
      <c r="I38" s="385"/>
      <c r="J38" s="404"/>
    </row>
    <row r="39" spans="1:12" ht="15" customHeight="1">
      <c r="A39" s="648"/>
      <c r="B39" s="644"/>
      <c r="C39" s="645"/>
      <c r="D39" s="392"/>
      <c r="E39" s="389"/>
      <c r="F39" s="380"/>
      <c r="G39" s="381"/>
      <c r="H39" s="381"/>
      <c r="I39" s="382" t="str">
        <f>IF(F39="","",SUM(F39:H39))</f>
        <v/>
      </c>
      <c r="J39" s="404"/>
    </row>
    <row r="40" spans="1:12" ht="15" customHeight="1">
      <c r="A40" s="649"/>
      <c r="B40" s="646"/>
      <c r="C40" s="647"/>
      <c r="D40" s="386"/>
      <c r="E40" s="390"/>
      <c r="F40" s="383"/>
      <c r="G40" s="384"/>
      <c r="H40" s="384"/>
      <c r="I40" s="385"/>
      <c r="J40" s="404"/>
    </row>
    <row r="41" spans="1:12" ht="15" customHeight="1">
      <c r="A41" s="648"/>
      <c r="B41" s="644"/>
      <c r="C41" s="645"/>
      <c r="D41" s="392"/>
      <c r="E41" s="389"/>
      <c r="F41" s="380"/>
      <c r="G41" s="381"/>
      <c r="H41" s="381"/>
      <c r="I41" s="382" t="str">
        <f>IF(F41="","",SUM(F41:H41))</f>
        <v/>
      </c>
      <c r="J41" s="404"/>
      <c r="L41" s="279"/>
    </row>
    <row r="42" spans="1:12" ht="15" customHeight="1">
      <c r="A42" s="649"/>
      <c r="B42" s="646"/>
      <c r="C42" s="647"/>
      <c r="D42" s="386"/>
      <c r="E42" s="390"/>
      <c r="F42" s="383"/>
      <c r="G42" s="384"/>
      <c r="H42" s="384"/>
      <c r="I42" s="385"/>
      <c r="J42" s="404"/>
    </row>
    <row r="43" spans="1:12" ht="15" customHeight="1">
      <c r="A43" s="648"/>
      <c r="B43" s="644"/>
      <c r="C43" s="645"/>
      <c r="D43" s="392"/>
      <c r="E43" s="389"/>
      <c r="F43" s="380"/>
      <c r="G43" s="381"/>
      <c r="H43" s="381"/>
      <c r="I43" s="382" t="str">
        <f>IF(F43="","",SUM(F43:H43))</f>
        <v/>
      </c>
      <c r="J43" s="404"/>
    </row>
    <row r="44" spans="1:12" ht="15" customHeight="1">
      <c r="A44" s="649"/>
      <c r="B44" s="646"/>
      <c r="C44" s="647"/>
      <c r="D44" s="386"/>
      <c r="E44" s="390"/>
      <c r="F44" s="383"/>
      <c r="G44" s="384"/>
      <c r="H44" s="384"/>
      <c r="I44" s="385"/>
      <c r="J44" s="404"/>
    </row>
    <row r="45" spans="1:12" ht="15" customHeight="1">
      <c r="A45" s="648"/>
      <c r="B45" s="644"/>
      <c r="C45" s="645"/>
      <c r="D45" s="389"/>
      <c r="E45" s="389"/>
      <c r="F45" s="380"/>
      <c r="G45" s="381"/>
      <c r="H45" s="381"/>
      <c r="I45" s="382" t="str">
        <f>IF(F45="","",SUM(F45:H45))</f>
        <v/>
      </c>
      <c r="J45" s="404"/>
      <c r="L45" s="279"/>
    </row>
    <row r="46" spans="1:12" ht="15" customHeight="1">
      <c r="A46" s="649"/>
      <c r="B46" s="646"/>
      <c r="C46" s="647"/>
      <c r="D46" s="394"/>
      <c r="E46" s="390"/>
      <c r="F46" s="383"/>
      <c r="G46" s="384"/>
      <c r="H46" s="384"/>
      <c r="I46" s="385"/>
      <c r="J46" s="404"/>
    </row>
    <row r="47" spans="1:12" ht="15" customHeight="1">
      <c r="A47" s="648"/>
      <c r="B47" s="644"/>
      <c r="C47" s="645"/>
      <c r="D47" s="389"/>
      <c r="E47" s="389"/>
      <c r="F47" s="380"/>
      <c r="G47" s="381"/>
      <c r="H47" s="381"/>
      <c r="I47" s="382" t="str">
        <f>IF(F47="","",SUM(F47:H47))</f>
        <v/>
      </c>
      <c r="J47" s="404"/>
      <c r="L47" s="279"/>
    </row>
    <row r="48" spans="1:12" ht="15" customHeight="1">
      <c r="A48" s="649"/>
      <c r="B48" s="646"/>
      <c r="C48" s="647"/>
      <c r="D48" s="394"/>
      <c r="E48" s="390"/>
      <c r="F48" s="383"/>
      <c r="G48" s="384"/>
      <c r="H48" s="384"/>
      <c r="I48" s="385"/>
      <c r="J48" s="404"/>
    </row>
    <row r="49" spans="1:9" ht="30" customHeight="1" thickBot="1">
      <c r="A49" s="650" t="s">
        <v>185</v>
      </c>
      <c r="B49" s="651"/>
      <c r="C49" s="651"/>
      <c r="D49" s="651"/>
      <c r="E49" s="651"/>
      <c r="F49" s="651"/>
      <c r="G49" s="651"/>
      <c r="H49" s="652"/>
      <c r="I49" s="280">
        <f>SUM(I7:I48)</f>
        <v>0</v>
      </c>
    </row>
    <row r="50" spans="1:9" s="281" customFormat="1" ht="6" customHeight="1" thickBot="1"/>
    <row r="51" spans="1:9" s="281" customFormat="1" ht="8.1" customHeight="1">
      <c r="F51" s="653" t="s">
        <v>186</v>
      </c>
      <c r="G51" s="655" t="s">
        <v>187</v>
      </c>
      <c r="H51" s="655" t="s">
        <v>188</v>
      </c>
      <c r="I51" s="657" t="s">
        <v>189</v>
      </c>
    </row>
    <row r="52" spans="1:9" s="281" customFormat="1" ht="8.1" customHeight="1">
      <c r="F52" s="654"/>
      <c r="G52" s="656"/>
      <c r="H52" s="656"/>
      <c r="I52" s="658"/>
    </row>
    <row r="53" spans="1:9" s="281" customFormat="1" ht="8.1" customHeight="1">
      <c r="F53" s="659"/>
      <c r="G53" s="662"/>
      <c r="H53" s="662"/>
      <c r="I53" s="665"/>
    </row>
    <row r="54" spans="1:9" s="281" customFormat="1" ht="8.1" customHeight="1">
      <c r="F54" s="660"/>
      <c r="G54" s="663"/>
      <c r="H54" s="663"/>
      <c r="I54" s="666"/>
    </row>
    <row r="55" spans="1:9" s="281" customFormat="1" ht="8.1" customHeight="1">
      <c r="F55" s="660"/>
      <c r="G55" s="663"/>
      <c r="H55" s="663"/>
      <c r="I55" s="666"/>
    </row>
    <row r="56" spans="1:9" s="281" customFormat="1" ht="8.1" customHeight="1">
      <c r="F56" s="660"/>
      <c r="G56" s="663"/>
      <c r="H56" s="663"/>
      <c r="I56" s="666"/>
    </row>
    <row r="57" spans="1:9" s="281" customFormat="1" ht="8.1" customHeight="1" thickBot="1">
      <c r="F57" s="661"/>
      <c r="G57" s="664"/>
      <c r="H57" s="664"/>
      <c r="I57" s="667"/>
    </row>
  </sheetData>
  <mergeCells count="82">
    <mergeCell ref="I51:I52"/>
    <mergeCell ref="F53:F57"/>
    <mergeCell ref="G53:G57"/>
    <mergeCell ref="H53:H57"/>
    <mergeCell ref="I53:I57"/>
    <mergeCell ref="A47:A48"/>
    <mergeCell ref="B47:C47"/>
    <mergeCell ref="B48:C48"/>
    <mergeCell ref="A49:H49"/>
    <mergeCell ref="F51:F52"/>
    <mergeCell ref="G51:G52"/>
    <mergeCell ref="H51:H52"/>
    <mergeCell ref="A43:A44"/>
    <mergeCell ref="B43:C43"/>
    <mergeCell ref="B44:C44"/>
    <mergeCell ref="A45:A46"/>
    <mergeCell ref="B45:C45"/>
    <mergeCell ref="B46:C46"/>
    <mergeCell ref="A39:A40"/>
    <mergeCell ref="B39:C39"/>
    <mergeCell ref="B40:C40"/>
    <mergeCell ref="A41:A42"/>
    <mergeCell ref="B41:C41"/>
    <mergeCell ref="B42:C42"/>
    <mergeCell ref="A35:A36"/>
    <mergeCell ref="B35:C35"/>
    <mergeCell ref="B36:C36"/>
    <mergeCell ref="A37:A38"/>
    <mergeCell ref="B37:C37"/>
    <mergeCell ref="B38:C38"/>
    <mergeCell ref="A31:A32"/>
    <mergeCell ref="B31:C31"/>
    <mergeCell ref="B32:C32"/>
    <mergeCell ref="A33:A34"/>
    <mergeCell ref="B33:C33"/>
    <mergeCell ref="B34:C34"/>
    <mergeCell ref="A27:A28"/>
    <mergeCell ref="B27:C27"/>
    <mergeCell ref="B28:C28"/>
    <mergeCell ref="A29:A30"/>
    <mergeCell ref="B29:C29"/>
    <mergeCell ref="B30:C30"/>
    <mergeCell ref="A23:A24"/>
    <mergeCell ref="B23:C23"/>
    <mergeCell ref="B24:C24"/>
    <mergeCell ref="A25:A26"/>
    <mergeCell ref="B25:C25"/>
    <mergeCell ref="B26:C26"/>
    <mergeCell ref="A19:A20"/>
    <mergeCell ref="B19:C19"/>
    <mergeCell ref="B20:C20"/>
    <mergeCell ref="A21:A22"/>
    <mergeCell ref="B21:C21"/>
    <mergeCell ref="B22:C22"/>
    <mergeCell ref="A15:A16"/>
    <mergeCell ref="B15:C15"/>
    <mergeCell ref="B16:C16"/>
    <mergeCell ref="A17:A18"/>
    <mergeCell ref="B17:C17"/>
    <mergeCell ref="B18:C18"/>
    <mergeCell ref="A11:A12"/>
    <mergeCell ref="B11:C11"/>
    <mergeCell ref="B12:C12"/>
    <mergeCell ref="A13:A14"/>
    <mergeCell ref="B13:C13"/>
    <mergeCell ref="B14:C14"/>
    <mergeCell ref="A7:A8"/>
    <mergeCell ref="B7:C7"/>
    <mergeCell ref="B8:C8"/>
    <mergeCell ref="A9:A10"/>
    <mergeCell ref="B9:C9"/>
    <mergeCell ref="B10:C10"/>
    <mergeCell ref="D1:E1"/>
    <mergeCell ref="A2:D2"/>
    <mergeCell ref="F2:I2"/>
    <mergeCell ref="F3:H3"/>
    <mergeCell ref="A5:A6"/>
    <mergeCell ref="B5:C6"/>
    <mergeCell ref="E5:F5"/>
    <mergeCell ref="G5:G6"/>
    <mergeCell ref="H5:H6"/>
    <mergeCell ref="I5:I6"/>
  </mergeCells>
  <phoneticPr fontId="2"/>
  <printOptions horizontalCentered="1"/>
  <pageMargins left="0" right="0" top="0" bottom="0" header="0.51181102362204722" footer="0.51181102362204722"/>
  <pageSetup paperSize="9" fitToHeight="0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theme="3" tint="0.39997558519241921"/>
    <pageSetUpPr fitToPage="1"/>
  </sheetPr>
  <dimension ref="A1:R38"/>
  <sheetViews>
    <sheetView showGridLines="0" zoomScaleNormal="100" workbookViewId="0">
      <selection activeCell="E8" sqref="E8"/>
    </sheetView>
  </sheetViews>
  <sheetFormatPr defaultColWidth="9" defaultRowHeight="15"/>
  <cols>
    <col min="1" max="1" width="11.125" style="249" customWidth="1"/>
    <col min="2" max="2" width="9" style="249"/>
    <col min="3" max="3" width="11" style="249" bestFit="1" customWidth="1"/>
    <col min="4" max="4" width="15.625" style="249" customWidth="1"/>
    <col min="5" max="5" width="37.125" style="249" bestFit="1" customWidth="1"/>
    <col min="6" max="6" width="9.5" style="249" bestFit="1" customWidth="1"/>
    <col min="7" max="8" width="9" style="249"/>
    <col min="9" max="9" width="7.125" style="249" customWidth="1"/>
    <col min="10" max="14" width="9.125" style="249" customWidth="1"/>
    <col min="15" max="15" width="11.5" style="249" customWidth="1"/>
    <col min="16" max="16" width="9" style="249"/>
    <col min="17" max="17" width="12.75" style="249" customWidth="1"/>
    <col min="18" max="16384" width="9" style="249"/>
  </cols>
  <sheetData>
    <row r="1" spans="1:17">
      <c r="A1" s="249" t="s">
        <v>143</v>
      </c>
      <c r="J1" s="469" t="s">
        <v>291</v>
      </c>
    </row>
    <row r="2" spans="1:17">
      <c r="A2" s="250" t="s">
        <v>144</v>
      </c>
      <c r="B2" s="671">
        <v>46255</v>
      </c>
      <c r="C2" s="672"/>
      <c r="F2" s="249" t="str">
        <f>IF(SUM(F4:F10)=P7,"OK","NG")</f>
        <v>OK</v>
      </c>
      <c r="J2" s="470" t="s">
        <v>293</v>
      </c>
      <c r="K2" s="678" t="s">
        <v>292</v>
      </c>
      <c r="L2" s="679"/>
    </row>
    <row r="3" spans="1:17">
      <c r="A3" s="250" t="s">
        <v>157</v>
      </c>
      <c r="B3" s="250" t="s">
        <v>145</v>
      </c>
      <c r="C3" s="250" t="s">
        <v>192</v>
      </c>
      <c r="D3" s="250" t="s">
        <v>146</v>
      </c>
      <c r="E3" s="250" t="s">
        <v>147</v>
      </c>
      <c r="F3" s="250" t="s">
        <v>148</v>
      </c>
      <c r="G3" s="250" t="s">
        <v>155</v>
      </c>
      <c r="H3" s="250" t="s">
        <v>195</v>
      </c>
      <c r="I3" s="250" t="s">
        <v>119</v>
      </c>
      <c r="J3" s="468">
        <f>SUM(J4:J10)</f>
        <v>1</v>
      </c>
      <c r="K3" s="429" t="s">
        <v>295</v>
      </c>
      <c r="L3" s="430" t="s">
        <v>294</v>
      </c>
      <c r="O3" s="251"/>
      <c r="P3" s="251" t="str">
        <f>パラメータ!$B$4</f>
        <v>グエン ホン ソン</v>
      </c>
      <c r="Q3" s="251" t="s">
        <v>151</v>
      </c>
    </row>
    <row r="4" spans="1:17">
      <c r="A4" s="252" t="s">
        <v>158</v>
      </c>
      <c r="B4" s="405" t="str">
        <f>IF(C4="","",$P$3)</f>
        <v>グエン ホン ソン</v>
      </c>
      <c r="C4" s="459" t="s">
        <v>310</v>
      </c>
      <c r="D4" s="437" t="s">
        <v>311</v>
      </c>
      <c r="E4" s="486" t="s">
        <v>312</v>
      </c>
      <c r="F4" s="408">
        <f>IF(C4&lt;&gt;"",$P$7*J4,"")</f>
        <v>400000</v>
      </c>
      <c r="G4" s="421"/>
      <c r="H4" s="421"/>
      <c r="I4" s="463" t="s">
        <v>302</v>
      </c>
      <c r="J4" s="471">
        <v>1</v>
      </c>
      <c r="K4" s="411" t="e">
        <f>VLOOKUP(C4,派遣管理台帳!$AC$73:$AF$82,4,FALSE)</f>
        <v>#N/A</v>
      </c>
      <c r="L4" s="406" t="e">
        <f>VLOOKUP(C4,派遣管理台帳!$AC$73:$AE$82,3,FALSE)</f>
        <v>#N/A</v>
      </c>
      <c r="O4" s="254" t="s">
        <v>152</v>
      </c>
      <c r="P4" s="282">
        <f>派遣管理台帳!$AV$6</f>
        <v>400000</v>
      </c>
      <c r="Q4" s="414">
        <f>SUMIF($B$4:$B$17,Q3,$F$4:$F$17)</f>
        <v>0</v>
      </c>
    </row>
    <row r="5" spans="1:17">
      <c r="A5" s="252"/>
      <c r="B5" s="406"/>
      <c r="C5" s="490"/>
      <c r="D5" s="437"/>
      <c r="E5" s="437"/>
      <c r="F5" s="409"/>
      <c r="G5" s="422"/>
      <c r="H5" s="422"/>
      <c r="I5" s="257"/>
      <c r="J5" s="472"/>
      <c r="K5" s="412">
        <f ca="1">VLOOKUP(C5,派遣管理台帳!$AC$73:$AF$82,4,FALSE)</f>
        <v>0</v>
      </c>
      <c r="L5" s="406">
        <f ca="1">VLOOKUP(C5,派遣管理台帳!$AC$73:$AE$82,3,FALSE)</f>
        <v>0</v>
      </c>
      <c r="O5" s="254" t="s">
        <v>149</v>
      </c>
      <c r="P5" s="414">
        <f>SUM(派遣管理台帳!$U$54:'派遣管理台帳'!$U$57)</f>
        <v>0</v>
      </c>
      <c r="Q5" s="414">
        <f>SUMIF($B$4:$B$17,Q3,$G$4:$G$17)</f>
        <v>0</v>
      </c>
    </row>
    <row r="6" spans="1:17">
      <c r="A6" s="252"/>
      <c r="B6" s="406"/>
      <c r="C6" s="432"/>
      <c r="D6" s="437"/>
      <c r="E6" s="437"/>
      <c r="F6" s="409"/>
      <c r="G6" s="422"/>
      <c r="H6" s="422"/>
      <c r="I6" s="255"/>
      <c r="J6" s="472"/>
      <c r="K6" s="412">
        <f ca="1">VLOOKUP(C6,派遣管理台帳!$AC$73:$AF$82,4,FALSE)</f>
        <v>0</v>
      </c>
      <c r="L6" s="406">
        <f ca="1">VLOOKUP(C6,派遣管理台帳!$AC$73:$AE$82,3,FALSE)</f>
        <v>0</v>
      </c>
      <c r="O6" s="254" t="s">
        <v>150</v>
      </c>
      <c r="P6" s="414">
        <f>SUM(派遣管理台帳!U58)*(-1)</f>
        <v>0</v>
      </c>
      <c r="Q6" s="414">
        <f>SUMIF($B$4:$B$17,Q4,$H$4:$H$17)</f>
        <v>0</v>
      </c>
    </row>
    <row r="7" spans="1:17" ht="15.75" thickBot="1">
      <c r="A7" s="252"/>
      <c r="B7" s="406" t="str">
        <f t="shared" ref="B7:B10" si="0">IF(C7="","",$P$3)</f>
        <v/>
      </c>
      <c r="C7" s="432"/>
      <c r="D7" s="437"/>
      <c r="E7" s="437"/>
      <c r="F7" s="409" t="str">
        <f t="shared" ref="F7:F10" si="1">IF(C7&lt;&gt;"",$P$7*J7,"")</f>
        <v/>
      </c>
      <c r="G7" s="422"/>
      <c r="H7" s="422"/>
      <c r="I7" s="255"/>
      <c r="J7" s="472"/>
      <c r="K7" s="412">
        <f ca="1">VLOOKUP(C7,派遣管理台帳!$AC$73:$AF$82,4,FALSE)</f>
        <v>0</v>
      </c>
      <c r="L7" s="406">
        <f ca="1">VLOOKUP(C7,派遣管理台帳!$AC$73:$AE$82,3,FALSE)</f>
        <v>0</v>
      </c>
      <c r="O7" s="256" t="s">
        <v>153</v>
      </c>
      <c r="P7" s="415">
        <f>SUM(P4:P6)</f>
        <v>400000</v>
      </c>
      <c r="Q7" s="415">
        <f>SUM(Q4:Q6)</f>
        <v>0</v>
      </c>
    </row>
    <row r="8" spans="1:17" ht="15.75" thickTop="1">
      <c r="A8" s="252"/>
      <c r="B8" s="406" t="str">
        <f t="shared" ref="B8" si="2">IF(C8="","",$P$3)</f>
        <v/>
      </c>
      <c r="C8" s="432"/>
      <c r="D8" s="437"/>
      <c r="E8" s="437"/>
      <c r="F8" s="409" t="str">
        <f t="shared" si="1"/>
        <v/>
      </c>
      <c r="G8" s="422"/>
      <c r="H8" s="422"/>
      <c r="I8" s="255"/>
      <c r="J8" s="472"/>
      <c r="K8" s="412">
        <f ca="1">VLOOKUP(C8,派遣管理台帳!$AC$73:$AF$82,4,FALSE)</f>
        <v>0</v>
      </c>
      <c r="L8" s="406">
        <f ca="1">VLOOKUP(C8,派遣管理台帳!$AC$73:$AE$82,3,FALSE)</f>
        <v>0</v>
      </c>
      <c r="O8" s="673" t="s">
        <v>154</v>
      </c>
      <c r="P8" s="674"/>
      <c r="Q8" s="416">
        <f>SUM(P7+Q7)</f>
        <v>400000</v>
      </c>
    </row>
    <row r="9" spans="1:17">
      <c r="A9" s="252"/>
      <c r="B9" s="406" t="str">
        <f t="shared" si="0"/>
        <v/>
      </c>
      <c r="C9" s="432"/>
      <c r="D9" s="437"/>
      <c r="E9" s="437"/>
      <c r="F9" s="409" t="str">
        <f t="shared" si="1"/>
        <v/>
      </c>
      <c r="G9" s="422"/>
      <c r="H9" s="422"/>
      <c r="I9" s="257"/>
      <c r="J9" s="472"/>
      <c r="K9" s="412">
        <f ca="1">VLOOKUP(C9,派遣管理台帳!$AC$73:$AF$82,4,FALSE)</f>
        <v>0</v>
      </c>
      <c r="L9" s="406">
        <f ca="1">VLOOKUP(C9,派遣管理台帳!$AC$73:$AE$82,3,FALSE)</f>
        <v>0</v>
      </c>
      <c r="O9" s="258" t="s">
        <v>155</v>
      </c>
      <c r="P9" s="259">
        <v>0.1</v>
      </c>
      <c r="Q9" s="417">
        <f>ROUND(Q8*P9,0)</f>
        <v>40000</v>
      </c>
    </row>
    <row r="10" spans="1:17">
      <c r="A10" s="260"/>
      <c r="B10" s="407" t="str">
        <f t="shared" si="0"/>
        <v/>
      </c>
      <c r="C10" s="433"/>
      <c r="D10" s="438"/>
      <c r="E10" s="438"/>
      <c r="F10" s="410" t="str">
        <f t="shared" si="1"/>
        <v/>
      </c>
      <c r="G10" s="423"/>
      <c r="H10" s="423"/>
      <c r="I10" s="262"/>
      <c r="J10" s="467"/>
      <c r="K10" s="413">
        <f ca="1">VLOOKUP(C10,派遣管理台帳!$AC$73:$AF$82,4,FALSE)</f>
        <v>0</v>
      </c>
      <c r="L10" s="407">
        <f ca="1">VLOOKUP(C10,派遣管理台帳!$AC$73:$AE$82,3,FALSE)</f>
        <v>0</v>
      </c>
      <c r="O10" s="669" t="s">
        <v>156</v>
      </c>
      <c r="P10" s="670"/>
      <c r="Q10" s="418">
        <f>Q8+Q9</f>
        <v>440000</v>
      </c>
    </row>
    <row r="11" spans="1:17">
      <c r="A11" s="291" t="s">
        <v>159</v>
      </c>
      <c r="B11" s="292" t="str">
        <f>IF(C11="","",$P$3)</f>
        <v/>
      </c>
      <c r="C11" s="434"/>
      <c r="D11" s="439"/>
      <c r="E11" s="292"/>
      <c r="F11" s="294"/>
      <c r="G11" s="294" t="str">
        <f>IF(F11&lt;&gt;"",ROUND(F11*$P$9,0),"")</f>
        <v/>
      </c>
      <c r="H11" s="294">
        <f>SUM(F11:G11)</f>
        <v>0</v>
      </c>
      <c r="I11" s="295" t="s">
        <v>162</v>
      </c>
      <c r="J11" s="294"/>
      <c r="K11" s="296"/>
      <c r="L11" s="292"/>
    </row>
    <row r="12" spans="1:17">
      <c r="A12" s="291"/>
      <c r="B12" s="293" t="str">
        <f>IF(C12="","",$P$3)</f>
        <v/>
      </c>
      <c r="C12" s="435"/>
      <c r="D12" s="439"/>
      <c r="E12" s="293"/>
      <c r="F12" s="297"/>
      <c r="G12" s="297" t="str">
        <f t="shared" ref="G12:G17" si="3">IF(F12&lt;&gt;"",ROUND(F12*$P$9,0),"")</f>
        <v/>
      </c>
      <c r="H12" s="297">
        <f>SUM(F12:G12)</f>
        <v>0</v>
      </c>
      <c r="I12" s="298"/>
      <c r="J12" s="297"/>
      <c r="K12" s="299"/>
      <c r="L12" s="293"/>
      <c r="O12" s="675" t="s">
        <v>196</v>
      </c>
      <c r="P12" s="676"/>
      <c r="Q12" s="677"/>
    </row>
    <row r="13" spans="1:17">
      <c r="A13" s="291"/>
      <c r="B13" s="293" t="str">
        <f t="shared" ref="B13:B15" si="4">IF(C13="","",$P$3)</f>
        <v/>
      </c>
      <c r="C13" s="435"/>
      <c r="D13" s="439"/>
      <c r="E13" s="293"/>
      <c r="F13" s="297"/>
      <c r="G13" s="297" t="str">
        <f t="shared" si="3"/>
        <v/>
      </c>
      <c r="H13" s="297">
        <f>SUM(F13:G13)</f>
        <v>0</v>
      </c>
      <c r="I13" s="298"/>
      <c r="J13" s="297"/>
      <c r="K13" s="299"/>
      <c r="L13" s="293"/>
      <c r="O13" s="306" t="str">
        <f>YEAR($B$2)&amp;RIGHT("00"&amp;MONTH($B$2),2)&amp;"01"</f>
        <v>20260801</v>
      </c>
      <c r="P13" s="307" t="s">
        <v>197</v>
      </c>
      <c r="Q13" s="305" t="str">
        <f>YEAR($B$2)&amp;RIGHT("00"&amp;MONTH($B$2),2)&amp;RIGHT("00"&amp;DAY(DATE(YEAR($B$2),MONTH($B$2)+1,1)-1),2)</f>
        <v>20260831</v>
      </c>
    </row>
    <row r="14" spans="1:17">
      <c r="A14" s="291"/>
      <c r="B14" s="293" t="str">
        <f t="shared" si="4"/>
        <v/>
      </c>
      <c r="C14" s="435"/>
      <c r="D14" s="439"/>
      <c r="E14" s="293"/>
      <c r="F14" s="297"/>
      <c r="G14" s="297" t="str">
        <f t="shared" si="3"/>
        <v/>
      </c>
      <c r="H14" s="297">
        <f t="shared" ref="H14:H15" si="5">SUM(F14:G14)</f>
        <v>0</v>
      </c>
      <c r="I14" s="298"/>
      <c r="J14" s="297"/>
      <c r="K14" s="299"/>
      <c r="L14" s="293"/>
    </row>
    <row r="15" spans="1:17">
      <c r="A15" s="291"/>
      <c r="B15" s="293" t="str">
        <f t="shared" si="4"/>
        <v/>
      </c>
      <c r="C15" s="435"/>
      <c r="D15" s="439"/>
      <c r="E15" s="293"/>
      <c r="F15" s="297"/>
      <c r="G15" s="297" t="str">
        <f t="shared" si="3"/>
        <v/>
      </c>
      <c r="H15" s="297">
        <f t="shared" si="5"/>
        <v>0</v>
      </c>
      <c r="I15" s="298"/>
      <c r="J15" s="297"/>
      <c r="K15" s="299"/>
      <c r="L15" s="293"/>
      <c r="Q15" s="308"/>
    </row>
    <row r="16" spans="1:17">
      <c r="A16" s="291"/>
      <c r="B16" s="293" t="str">
        <f t="shared" ref="B16:B31" si="6">IF(C16="","",$P$3)</f>
        <v/>
      </c>
      <c r="C16" s="435"/>
      <c r="D16" s="439"/>
      <c r="E16" s="293"/>
      <c r="F16" s="297"/>
      <c r="G16" s="297" t="str">
        <f t="shared" si="3"/>
        <v/>
      </c>
      <c r="H16" s="297">
        <f>SUM(F16:G16)</f>
        <v>0</v>
      </c>
      <c r="I16" s="298"/>
      <c r="J16" s="297"/>
      <c r="K16" s="299"/>
      <c r="L16" s="293"/>
    </row>
    <row r="17" spans="1:18">
      <c r="A17" s="300"/>
      <c r="B17" s="301" t="str">
        <f t="shared" si="6"/>
        <v/>
      </c>
      <c r="C17" s="436"/>
      <c r="D17" s="440"/>
      <c r="E17" s="301"/>
      <c r="F17" s="302"/>
      <c r="G17" s="302" t="str">
        <f t="shared" si="3"/>
        <v/>
      </c>
      <c r="H17" s="302">
        <f>SUM(F17:G17)</f>
        <v>0</v>
      </c>
      <c r="I17" s="303"/>
      <c r="J17" s="302"/>
      <c r="K17" s="304"/>
      <c r="L17" s="301"/>
    </row>
    <row r="18" spans="1:18">
      <c r="A18" s="252" t="s">
        <v>160</v>
      </c>
      <c r="B18" s="405" t="str">
        <f t="shared" si="6"/>
        <v/>
      </c>
      <c r="C18" s="459"/>
      <c r="D18" s="437"/>
      <c r="E18" s="460"/>
      <c r="F18" s="408" t="str">
        <f t="shared" ref="F18:F31" si="7">IF(J18&lt;&gt;0,J18,"")</f>
        <v/>
      </c>
      <c r="G18" s="421"/>
      <c r="H18" s="421"/>
      <c r="I18" s="463" t="s">
        <v>301</v>
      </c>
      <c r="J18" s="424">
        <f>SUMIF(交通費明細!$J$7:$J$48,C18,交通費明細!$I$7:$I$48)</f>
        <v>0</v>
      </c>
      <c r="O18" s="668" t="s">
        <v>164</v>
      </c>
      <c r="P18" s="668"/>
      <c r="Q18" s="668"/>
      <c r="R18" s="668"/>
    </row>
    <row r="19" spans="1:18">
      <c r="A19" s="252"/>
      <c r="B19" s="406" t="str">
        <f t="shared" si="6"/>
        <v/>
      </c>
      <c r="C19" s="432"/>
      <c r="D19" s="437"/>
      <c r="E19" s="253"/>
      <c r="F19" s="409" t="str">
        <f t="shared" si="7"/>
        <v/>
      </c>
      <c r="G19" s="422"/>
      <c r="H19" s="422"/>
      <c r="I19" s="257"/>
      <c r="J19" s="424">
        <f>SUMIF(交通費明細!$J$7:$J$48,C19,交通費明細!$I$7:$I$48)</f>
        <v>0</v>
      </c>
      <c r="K19" s="462"/>
      <c r="L19" s="461"/>
      <c r="O19" s="285" t="s">
        <v>158</v>
      </c>
      <c r="P19" s="419">
        <f>SUM(F4:F10)</f>
        <v>400000</v>
      </c>
      <c r="Q19" s="283"/>
      <c r="R19" s="283"/>
    </row>
    <row r="20" spans="1:18">
      <c r="A20" s="252"/>
      <c r="B20" s="406" t="str">
        <f t="shared" si="6"/>
        <v/>
      </c>
      <c r="C20" s="432"/>
      <c r="D20" s="437"/>
      <c r="E20" s="253"/>
      <c r="F20" s="409" t="str">
        <f t="shared" si="7"/>
        <v/>
      </c>
      <c r="G20" s="422"/>
      <c r="H20" s="422"/>
      <c r="I20" s="255"/>
      <c r="J20" s="424">
        <f>SUMIF(交通費明細!$J$7:$J$48,C20,交通費明細!$I$7:$I$48)</f>
        <v>0</v>
      </c>
      <c r="K20" s="462"/>
      <c r="L20" s="461"/>
      <c r="O20" s="285" t="s">
        <v>155</v>
      </c>
      <c r="P20" s="414">
        <f>ROUND(P19*P9,0)</f>
        <v>40000</v>
      </c>
      <c r="Q20" s="286" t="s">
        <v>166</v>
      </c>
      <c r="R20" s="419">
        <f>SUM(P19:P20)</f>
        <v>440000</v>
      </c>
    </row>
    <row r="21" spans="1:18">
      <c r="A21" s="252"/>
      <c r="B21" s="406" t="str">
        <f t="shared" si="6"/>
        <v/>
      </c>
      <c r="C21" s="432"/>
      <c r="D21" s="437"/>
      <c r="E21" s="253"/>
      <c r="F21" s="409" t="str">
        <f t="shared" si="7"/>
        <v/>
      </c>
      <c r="G21" s="422"/>
      <c r="H21" s="422"/>
      <c r="I21" s="255"/>
      <c r="J21" s="424">
        <f>SUMIF(交通費明細!$J$7:$J$48,C21,交通費明細!$I$7:$I$48)</f>
        <v>0</v>
      </c>
      <c r="K21" s="462"/>
      <c r="L21" s="461"/>
      <c r="O21" s="285" t="s">
        <v>160</v>
      </c>
      <c r="P21" s="419">
        <f>SUM(F18:F24)</f>
        <v>0</v>
      </c>
      <c r="Q21" s="283"/>
      <c r="R21" s="283"/>
    </row>
    <row r="22" spans="1:18">
      <c r="A22" s="252"/>
      <c r="B22" s="406" t="str">
        <f t="shared" si="6"/>
        <v/>
      </c>
      <c r="C22" s="432"/>
      <c r="D22" s="437"/>
      <c r="E22" s="253"/>
      <c r="F22" s="409" t="str">
        <f t="shared" si="7"/>
        <v/>
      </c>
      <c r="G22" s="422"/>
      <c r="H22" s="422"/>
      <c r="I22" s="255"/>
      <c r="J22" s="424">
        <f>SUMIF(交通費明細!$J$7:$J$48,C22,交通費明細!$I$7:$I$48)</f>
        <v>0</v>
      </c>
      <c r="K22" s="462"/>
      <c r="L22" s="461"/>
      <c r="O22" s="285" t="s">
        <v>165</v>
      </c>
      <c r="P22" s="419">
        <v>0</v>
      </c>
      <c r="Q22" s="286" t="s">
        <v>167</v>
      </c>
      <c r="R22" s="419">
        <f>SUM(P21:P22)</f>
        <v>0</v>
      </c>
    </row>
    <row r="23" spans="1:18">
      <c r="A23" s="252"/>
      <c r="B23" s="406" t="str">
        <f t="shared" si="6"/>
        <v/>
      </c>
      <c r="C23" s="432"/>
      <c r="D23" s="437"/>
      <c r="E23" s="253"/>
      <c r="F23" s="409" t="str">
        <f t="shared" si="7"/>
        <v/>
      </c>
      <c r="G23" s="422"/>
      <c r="H23" s="422"/>
      <c r="I23" s="255"/>
      <c r="J23" s="424">
        <f>SUMIF(交通費明細!$J$7:$J$48,C23,交通費明細!$I$7:$I$48)</f>
        <v>0</v>
      </c>
      <c r="K23" s="462"/>
      <c r="L23" s="461"/>
      <c r="O23" s="283"/>
      <c r="P23" s="284"/>
      <c r="Q23" s="283"/>
      <c r="R23" s="283"/>
    </row>
    <row r="24" spans="1:18">
      <c r="A24" s="260"/>
      <c r="B24" s="407" t="str">
        <f t="shared" si="6"/>
        <v/>
      </c>
      <c r="C24" s="433"/>
      <c r="D24" s="438"/>
      <c r="E24" s="261"/>
      <c r="F24" s="410" t="str">
        <f t="shared" si="7"/>
        <v/>
      </c>
      <c r="G24" s="422"/>
      <c r="H24" s="423"/>
      <c r="I24" s="262"/>
      <c r="J24" s="424">
        <f>SUMIF(交通費明細!$J$7:$J$48,C24,交通費明細!$I$7:$I$48)</f>
        <v>0</v>
      </c>
      <c r="K24" s="462"/>
      <c r="L24" s="461"/>
      <c r="O24" s="283"/>
      <c r="P24" s="283"/>
      <c r="Q24" s="283"/>
      <c r="R24" s="283"/>
    </row>
    <row r="25" spans="1:18">
      <c r="A25" s="291" t="s">
        <v>161</v>
      </c>
      <c r="B25" s="292" t="str">
        <f t="shared" si="6"/>
        <v/>
      </c>
      <c r="C25" s="434"/>
      <c r="D25" s="439"/>
      <c r="E25" s="292"/>
      <c r="F25" s="294" t="str">
        <f t="shared" si="7"/>
        <v/>
      </c>
      <c r="G25" s="294" t="str">
        <f>IF(F25&lt;&gt;"",0,"")</f>
        <v/>
      </c>
      <c r="H25" s="294">
        <f>SUM(F25:G25)</f>
        <v>0</v>
      </c>
      <c r="I25" s="295" t="s">
        <v>163</v>
      </c>
      <c r="J25" s="424">
        <f>SUMIF(交通費明細!$J$7:$J$48,C25,交通費明細!$I$7:$I$48)</f>
        <v>0</v>
      </c>
      <c r="K25" s="462"/>
      <c r="L25" s="461"/>
      <c r="O25" s="285" t="s">
        <v>159</v>
      </c>
      <c r="P25" s="419">
        <f>SUM(F11:F17)</f>
        <v>0</v>
      </c>
      <c r="Q25" s="283"/>
      <c r="R25" s="283"/>
    </row>
    <row r="26" spans="1:18">
      <c r="A26" s="291"/>
      <c r="B26" s="293" t="str">
        <f t="shared" si="6"/>
        <v/>
      </c>
      <c r="C26" s="435"/>
      <c r="D26" s="439"/>
      <c r="E26" s="293"/>
      <c r="F26" s="297" t="str">
        <f t="shared" si="7"/>
        <v/>
      </c>
      <c r="G26" s="297" t="str">
        <f>IF(F26&lt;&gt;"",0,"")</f>
        <v/>
      </c>
      <c r="H26" s="297">
        <f>SUM(F26:G26)</f>
        <v>0</v>
      </c>
      <c r="I26" s="298"/>
      <c r="J26" s="424">
        <f>SUMIF(交通費明細!$J$7:$J$48,C26,交通費明細!$I$7:$I$48)</f>
        <v>0</v>
      </c>
      <c r="K26" s="462"/>
      <c r="L26" s="461"/>
      <c r="O26" s="285" t="s">
        <v>155</v>
      </c>
      <c r="P26" s="414">
        <f>ROUND(P25*P9,0)</f>
        <v>0</v>
      </c>
      <c r="Q26" s="286" t="s">
        <v>168</v>
      </c>
      <c r="R26" s="419">
        <f>SUM(P25:P26)</f>
        <v>0</v>
      </c>
    </row>
    <row r="27" spans="1:18">
      <c r="A27" s="291"/>
      <c r="B27" s="293" t="str">
        <f t="shared" si="6"/>
        <v/>
      </c>
      <c r="C27" s="435"/>
      <c r="D27" s="439"/>
      <c r="E27" s="293"/>
      <c r="F27" s="297" t="str">
        <f t="shared" si="7"/>
        <v/>
      </c>
      <c r="G27" s="297" t="str">
        <f t="shared" ref="G27:G31" si="8">IF(F27&lt;&gt;"",0,"")</f>
        <v/>
      </c>
      <c r="H27" s="297">
        <f>SUM(F27:G27)</f>
        <v>0</v>
      </c>
      <c r="I27" s="298"/>
      <c r="J27" s="424">
        <f>SUMIF(交通費明細!$J$7:$J$48,C27,交通費明細!$I$7:$I$48)</f>
        <v>0</v>
      </c>
      <c r="K27" s="462"/>
      <c r="L27" s="461"/>
      <c r="O27" s="285" t="s">
        <v>161</v>
      </c>
      <c r="P27" s="419">
        <f>SUM(F25:F31)</f>
        <v>0</v>
      </c>
      <c r="Q27" s="283"/>
      <c r="R27" s="283"/>
    </row>
    <row r="28" spans="1:18">
      <c r="A28" s="291"/>
      <c r="B28" s="293" t="str">
        <f t="shared" si="6"/>
        <v/>
      </c>
      <c r="C28" s="435"/>
      <c r="D28" s="439"/>
      <c r="E28" s="293"/>
      <c r="F28" s="297" t="str">
        <f t="shared" si="7"/>
        <v/>
      </c>
      <c r="G28" s="297" t="str">
        <f t="shared" si="8"/>
        <v/>
      </c>
      <c r="H28" s="297">
        <f t="shared" ref="H28:H29" si="9">SUM(F28:G28)</f>
        <v>0</v>
      </c>
      <c r="I28" s="298"/>
      <c r="J28" s="424">
        <f>SUMIF(交通費明細!$J$7:$J$48,C28,交通費明細!$I$7:$I$48)</f>
        <v>0</v>
      </c>
      <c r="O28" s="285" t="s">
        <v>165</v>
      </c>
      <c r="P28" s="420">
        <v>0</v>
      </c>
      <c r="Q28" s="286" t="s">
        <v>169</v>
      </c>
      <c r="R28" s="419">
        <f>SUM(P27:P28)</f>
        <v>0</v>
      </c>
    </row>
    <row r="29" spans="1:18">
      <c r="A29" s="291"/>
      <c r="B29" s="293" t="str">
        <f t="shared" si="6"/>
        <v/>
      </c>
      <c r="C29" s="435"/>
      <c r="D29" s="439"/>
      <c r="E29" s="293"/>
      <c r="F29" s="297" t="str">
        <f t="shared" si="7"/>
        <v/>
      </c>
      <c r="G29" s="297" t="str">
        <f t="shared" si="8"/>
        <v/>
      </c>
      <c r="H29" s="297">
        <f t="shared" si="9"/>
        <v>0</v>
      </c>
      <c r="I29" s="298"/>
      <c r="J29" s="424">
        <f>SUMIF(交通費明細!$J$7:$J$48,C29,交通費明細!$I$7:$I$48)</f>
        <v>0</v>
      </c>
      <c r="K29" s="462"/>
      <c r="L29" s="461"/>
      <c r="O29" s="283"/>
      <c r="P29" s="283"/>
      <c r="Q29" s="283"/>
      <c r="R29" s="283"/>
    </row>
    <row r="30" spans="1:18">
      <c r="A30" s="291"/>
      <c r="B30" s="293" t="str">
        <f t="shared" si="6"/>
        <v/>
      </c>
      <c r="C30" s="435"/>
      <c r="D30" s="439"/>
      <c r="E30" s="293"/>
      <c r="F30" s="297" t="str">
        <f t="shared" si="7"/>
        <v/>
      </c>
      <c r="G30" s="297" t="str">
        <f t="shared" si="8"/>
        <v/>
      </c>
      <c r="H30" s="297">
        <f>SUM(F30:G30)</f>
        <v>0</v>
      </c>
      <c r="I30" s="298"/>
      <c r="J30" s="424">
        <f>SUMIF(交通費明細!$J$7:$J$48,C30,交通費明細!$I$7:$I$48)</f>
        <v>0</v>
      </c>
      <c r="K30" s="462"/>
      <c r="L30" s="461"/>
      <c r="O30" s="283"/>
      <c r="P30" s="283"/>
      <c r="Q30" s="283"/>
      <c r="R30" s="283"/>
    </row>
    <row r="31" spans="1:18">
      <c r="A31" s="300"/>
      <c r="B31" s="301" t="str">
        <f t="shared" si="6"/>
        <v/>
      </c>
      <c r="C31" s="436"/>
      <c r="D31" s="440"/>
      <c r="E31" s="301"/>
      <c r="F31" s="302" t="str">
        <f t="shared" si="7"/>
        <v/>
      </c>
      <c r="G31" s="302" t="str">
        <f t="shared" si="8"/>
        <v/>
      </c>
      <c r="H31" s="302">
        <f>SUM(F31:G31)</f>
        <v>0</v>
      </c>
      <c r="I31" s="303"/>
      <c r="J31" s="424">
        <f>SUMIF(交通費明細!$J$7:$J$48,C31,交通費明細!$I$7:$I$48)</f>
        <v>0</v>
      </c>
      <c r="K31" s="462"/>
      <c r="L31" s="461"/>
      <c r="O31" s="283"/>
      <c r="P31" s="283"/>
      <c r="Q31" s="283"/>
      <c r="R31" s="283"/>
    </row>
    <row r="32" spans="1:18">
      <c r="K32" s="462"/>
      <c r="L32" s="461"/>
    </row>
    <row r="33" spans="2:12">
      <c r="C33" s="249">
        <v>387051005</v>
      </c>
      <c r="D33" s="249" t="s">
        <v>276</v>
      </c>
      <c r="E33" s="249" t="s">
        <v>289</v>
      </c>
      <c r="K33" s="462"/>
      <c r="L33" s="461"/>
    </row>
    <row r="34" spans="2:12">
      <c r="I34" s="462" t="s">
        <v>290</v>
      </c>
      <c r="K34" s="462"/>
      <c r="L34" s="461"/>
    </row>
    <row r="35" spans="2:12">
      <c r="K35" s="462"/>
      <c r="L35" s="461"/>
    </row>
    <row r="36" spans="2:12">
      <c r="B36" s="462"/>
      <c r="K36" s="462"/>
      <c r="L36" s="461"/>
    </row>
    <row r="37" spans="2:12">
      <c r="K37" s="462"/>
      <c r="L37" s="461"/>
    </row>
    <row r="38" spans="2:12">
      <c r="K38" s="462"/>
      <c r="L38" s="461"/>
    </row>
  </sheetData>
  <mergeCells count="6">
    <mergeCell ref="O18:R18"/>
    <mergeCell ref="O10:P10"/>
    <mergeCell ref="B2:C2"/>
    <mergeCell ref="O8:P8"/>
    <mergeCell ref="O12:Q12"/>
    <mergeCell ref="K2:L2"/>
  </mergeCells>
  <phoneticPr fontId="2"/>
  <conditionalFormatting sqref="I4:I31">
    <cfRule type="expression" dxfId="5" priority="1">
      <formula>AND($C4&lt;&gt;"",$I4="")</formula>
    </cfRule>
  </conditionalFormatting>
  <pageMargins left="0.25" right="0.25" top="0.75" bottom="0.75" header="0.3" footer="0.3"/>
  <pageSetup paperSize="9" scale="72" fitToHeight="0"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>
    <tabColor rgb="FFFFFF00"/>
    <pageSetUpPr fitToPage="1"/>
  </sheetPr>
  <dimension ref="A1:AR51"/>
  <sheetViews>
    <sheetView zoomScaleNormal="100" workbookViewId="0">
      <selection activeCell="BG12" sqref="BG12"/>
    </sheetView>
  </sheetViews>
  <sheetFormatPr defaultColWidth="2.25" defaultRowHeight="13.5"/>
  <cols>
    <col min="1" max="36" width="2.25" style="126"/>
    <col min="37" max="44" width="2.625" style="126" customWidth="1"/>
    <col min="45" max="50" width="2.25" style="126"/>
    <col min="51" max="51" width="2.25" style="126" customWidth="1"/>
    <col min="52" max="54" width="2.25" style="126"/>
    <col min="55" max="55" width="2.25" style="126" customWidth="1"/>
    <col min="56" max="16384" width="2.25" style="126"/>
  </cols>
  <sheetData>
    <row r="1" spans="2:44" s="1" customFormat="1">
      <c r="AI1" s="680">
        <f>請求内容入力シート!B2</f>
        <v>46255</v>
      </c>
      <c r="AJ1" s="680"/>
      <c r="AK1" s="680"/>
      <c r="AL1" s="680"/>
      <c r="AM1" s="680"/>
      <c r="AN1" s="680"/>
      <c r="AO1" s="681" t="s">
        <v>191</v>
      </c>
      <c r="AP1" s="681"/>
      <c r="AQ1" s="681"/>
      <c r="AR1" s="287"/>
    </row>
    <row r="2" spans="2:44" s="1" customFormat="1">
      <c r="AI2" s="680"/>
      <c r="AJ2" s="680"/>
      <c r="AK2" s="680"/>
      <c r="AL2" s="680"/>
      <c r="AM2" s="680"/>
      <c r="AN2" s="680"/>
      <c r="AO2" s="681"/>
      <c r="AP2" s="681"/>
      <c r="AQ2" s="681"/>
      <c r="AR2" s="287"/>
    </row>
    <row r="3" spans="2:44" s="1" customFormat="1" ht="13.5" customHeight="1">
      <c r="B3" s="682" t="s">
        <v>137</v>
      </c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  <c r="AQ3" s="682"/>
      <c r="AR3" s="682"/>
    </row>
    <row r="4" spans="2:44" s="1" customFormat="1" ht="13.5" customHeight="1"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  <c r="AQ4" s="682"/>
      <c r="AR4" s="682"/>
    </row>
    <row r="5" spans="2:44" s="1" customFormat="1" ht="24.95" customHeight="1">
      <c r="B5" s="712" t="s">
        <v>8</v>
      </c>
      <c r="C5" s="713"/>
      <c r="D5" s="713"/>
      <c r="E5" s="713"/>
      <c r="F5" s="713"/>
      <c r="G5" s="713"/>
      <c r="H5" s="714"/>
      <c r="AG5" s="712" t="s">
        <v>1</v>
      </c>
      <c r="AH5" s="715"/>
      <c r="AI5" s="715"/>
      <c r="AJ5" s="716"/>
      <c r="AK5" s="130" t="str">
        <f>LEFT(パラメータ!B5,1)</f>
        <v>A</v>
      </c>
      <c r="AL5" s="131" t="str">
        <f>MID(パラメータ!B5,2,1)</f>
        <v>9</v>
      </c>
      <c r="AM5" s="131" t="str">
        <f>MID(パラメータ!B5,3,1)</f>
        <v>7</v>
      </c>
      <c r="AN5" s="131" t="str">
        <f>MID(パラメータ!B5,4,1)</f>
        <v>1</v>
      </c>
      <c r="AO5" s="131" t="str">
        <f>MID(パラメータ!B5,5,1)</f>
        <v>2</v>
      </c>
      <c r="AP5" s="132" t="str">
        <f>MID(パラメータ!B5,6,1)</f>
        <v>2</v>
      </c>
    </row>
    <row r="6" spans="2:44" s="1" customFormat="1" ht="24.95" customHeight="1">
      <c r="B6" s="2"/>
      <c r="C6" s="2"/>
      <c r="D6" s="2"/>
      <c r="E6" s="2"/>
      <c r="F6" s="2"/>
      <c r="G6" s="2"/>
      <c r="H6" s="2"/>
      <c r="AG6" s="712" t="s">
        <v>18</v>
      </c>
      <c r="AH6" s="715"/>
      <c r="AI6" s="715"/>
      <c r="AJ6" s="716"/>
      <c r="AK6" s="717" t="str">
        <f>パラメータ!B3</f>
        <v>株式会社VTIジャパン</v>
      </c>
      <c r="AL6" s="718"/>
      <c r="AM6" s="718"/>
      <c r="AN6" s="718"/>
      <c r="AO6" s="718"/>
      <c r="AP6" s="718"/>
      <c r="AQ6" s="718"/>
      <c r="AR6" s="719"/>
    </row>
    <row r="7" spans="2:44" s="1" customFormat="1" ht="13.5" customHeight="1">
      <c r="AG7" s="722" t="s">
        <v>19</v>
      </c>
      <c r="AH7" s="686"/>
      <c r="AI7" s="686"/>
      <c r="AJ7" s="687"/>
      <c r="AK7" s="722" t="str">
        <f>パラメータ!B4</f>
        <v>グエン ホン ソン</v>
      </c>
      <c r="AL7" s="686"/>
      <c r="AM7" s="686"/>
      <c r="AN7" s="686"/>
      <c r="AO7" s="686"/>
      <c r="AP7" s="686"/>
      <c r="AQ7" s="686"/>
      <c r="AR7" s="687"/>
    </row>
    <row r="8" spans="2:44" s="1" customFormat="1" ht="13.5" customHeight="1">
      <c r="AG8" s="723"/>
      <c r="AH8" s="689"/>
      <c r="AI8" s="689"/>
      <c r="AJ8" s="690"/>
      <c r="AK8" s="723"/>
      <c r="AL8" s="689"/>
      <c r="AM8" s="689"/>
      <c r="AN8" s="689"/>
      <c r="AO8" s="689"/>
      <c r="AP8" s="689"/>
      <c r="AQ8" s="689"/>
      <c r="AR8" s="690"/>
    </row>
    <row r="9" spans="2:44" s="1" customFormat="1">
      <c r="AG9" s="3"/>
      <c r="AH9" s="3"/>
      <c r="AI9" s="3"/>
      <c r="AJ9" s="3"/>
    </row>
    <row r="10" spans="2:44" s="1" customFormat="1">
      <c r="AG10" s="3"/>
      <c r="AH10" s="3"/>
      <c r="AI10" s="3"/>
      <c r="AJ10" s="3"/>
    </row>
    <row r="11" spans="2:44" s="1" customFormat="1" ht="14.25" thickBot="1">
      <c r="AG11" s="3"/>
      <c r="AH11" s="3"/>
      <c r="AI11" s="3"/>
      <c r="AJ11" s="3"/>
    </row>
    <row r="12" spans="2:44" s="4" customFormat="1" ht="11.25">
      <c r="B12" s="724" t="s">
        <v>28</v>
      </c>
      <c r="C12" s="726" t="s">
        <v>14</v>
      </c>
      <c r="D12" s="727"/>
      <c r="E12" s="727"/>
      <c r="F12" s="728"/>
      <c r="G12" s="720" t="s">
        <v>27</v>
      </c>
      <c r="H12" s="721"/>
      <c r="I12" s="721"/>
      <c r="J12" s="721"/>
      <c r="K12" s="721"/>
      <c r="L12" s="721"/>
      <c r="M12" s="721"/>
      <c r="N12" s="721"/>
      <c r="O12" s="721"/>
      <c r="P12" s="721"/>
      <c r="Q12" s="732"/>
      <c r="R12" s="720" t="s">
        <v>16</v>
      </c>
      <c r="S12" s="721"/>
      <c r="T12" s="721"/>
      <c r="U12" s="721"/>
      <c r="V12" s="721"/>
      <c r="W12" s="721"/>
      <c r="X12" s="721"/>
      <c r="Y12" s="721"/>
      <c r="Z12" s="721"/>
      <c r="AA12" s="721"/>
      <c r="AB12" s="721"/>
      <c r="AC12" s="721"/>
      <c r="AD12" s="721"/>
      <c r="AE12" s="721"/>
      <c r="AF12" s="721"/>
      <c r="AG12" s="721"/>
      <c r="AH12" s="721"/>
      <c r="AI12" s="721"/>
      <c r="AJ12" s="721"/>
      <c r="AK12" s="726" t="s">
        <v>2</v>
      </c>
      <c r="AL12" s="721"/>
      <c r="AM12" s="721"/>
      <c r="AN12" s="721"/>
      <c r="AO12" s="721"/>
      <c r="AP12" s="721"/>
      <c r="AQ12" s="721"/>
      <c r="AR12" s="733"/>
    </row>
    <row r="13" spans="2:44" s="4" customFormat="1" ht="12" thickBot="1">
      <c r="B13" s="725"/>
      <c r="C13" s="729"/>
      <c r="D13" s="730"/>
      <c r="E13" s="730"/>
      <c r="F13" s="731"/>
      <c r="G13" s="709" t="s">
        <v>15</v>
      </c>
      <c r="H13" s="710"/>
      <c r="I13" s="710"/>
      <c r="J13" s="710"/>
      <c r="K13" s="710"/>
      <c r="L13" s="710"/>
      <c r="M13" s="710"/>
      <c r="N13" s="710"/>
      <c r="O13" s="710"/>
      <c r="P13" s="710"/>
      <c r="Q13" s="737"/>
      <c r="R13" s="709" t="s">
        <v>17</v>
      </c>
      <c r="S13" s="710"/>
      <c r="T13" s="710"/>
      <c r="U13" s="710"/>
      <c r="V13" s="710"/>
      <c r="W13" s="710"/>
      <c r="X13" s="710"/>
      <c r="Y13" s="710"/>
      <c r="Z13" s="710"/>
      <c r="AA13" s="710"/>
      <c r="AB13" s="710"/>
      <c r="AC13" s="710"/>
      <c r="AD13" s="710"/>
      <c r="AE13" s="710"/>
      <c r="AF13" s="710"/>
      <c r="AG13" s="710"/>
      <c r="AH13" s="710"/>
      <c r="AI13" s="710"/>
      <c r="AJ13" s="711"/>
      <c r="AK13" s="734"/>
      <c r="AL13" s="735"/>
      <c r="AM13" s="735"/>
      <c r="AN13" s="735"/>
      <c r="AO13" s="735"/>
      <c r="AP13" s="735"/>
      <c r="AQ13" s="735"/>
      <c r="AR13" s="736"/>
    </row>
    <row r="14" spans="2:44" s="1" customFormat="1" ht="24.95" customHeight="1">
      <c r="B14" s="700">
        <v>1</v>
      </c>
      <c r="C14" s="701" t="str">
        <f>IF(G14&lt;&gt;"",パラメータ!$B$7,"")</f>
        <v>５ＦＳＬ</v>
      </c>
      <c r="D14" s="702"/>
      <c r="E14" s="702"/>
      <c r="F14" s="703"/>
      <c r="G14" s="133">
        <v>0</v>
      </c>
      <c r="H14" s="134">
        <v>3</v>
      </c>
      <c r="I14" s="134">
        <v>8</v>
      </c>
      <c r="J14" s="135">
        <v>7</v>
      </c>
      <c r="K14" s="128" t="s">
        <v>117</v>
      </c>
      <c r="L14" s="133">
        <v>6</v>
      </c>
      <c r="M14" s="134">
        <v>0</v>
      </c>
      <c r="N14" s="134">
        <v>5</v>
      </c>
      <c r="O14" s="134">
        <v>0</v>
      </c>
      <c r="P14" s="134">
        <v>2</v>
      </c>
      <c r="Q14" s="135">
        <v>2</v>
      </c>
      <c r="R14" s="704" t="s">
        <v>332</v>
      </c>
      <c r="S14" s="705"/>
      <c r="T14" s="705"/>
      <c r="U14" s="705"/>
      <c r="V14" s="705"/>
      <c r="W14" s="705"/>
      <c r="X14" s="705"/>
      <c r="Y14" s="705"/>
      <c r="Z14" s="705"/>
      <c r="AA14" s="705"/>
      <c r="AB14" s="705"/>
      <c r="AC14" s="705"/>
      <c r="AD14" s="705"/>
      <c r="AE14" s="705"/>
      <c r="AF14" s="705"/>
      <c r="AG14" s="705"/>
      <c r="AH14" s="705"/>
      <c r="AI14" s="705"/>
      <c r="AJ14" s="705"/>
      <c r="AK14" s="139"/>
      <c r="AL14" s="140"/>
      <c r="AM14" s="141">
        <v>4</v>
      </c>
      <c r="AN14" s="142">
        <v>0</v>
      </c>
      <c r="AO14" s="140">
        <v>0</v>
      </c>
      <c r="AP14" s="141">
        <v>0</v>
      </c>
      <c r="AQ14" s="142">
        <v>0</v>
      </c>
      <c r="AR14" s="143">
        <v>0</v>
      </c>
    </row>
    <row r="15" spans="2:44" s="1" customFormat="1" ht="24.95" customHeight="1">
      <c r="B15" s="684"/>
      <c r="C15" s="688"/>
      <c r="D15" s="689"/>
      <c r="E15" s="689"/>
      <c r="F15" s="690"/>
      <c r="G15" s="691">
        <v>401</v>
      </c>
      <c r="H15" s="692"/>
      <c r="I15" s="692"/>
      <c r="J15" s="692"/>
      <c r="K15" s="692"/>
      <c r="L15" s="692"/>
      <c r="M15" s="692"/>
      <c r="N15" s="692"/>
      <c r="O15" s="692"/>
      <c r="P15" s="692"/>
      <c r="Q15" s="693"/>
      <c r="R15" s="706"/>
      <c r="S15" s="707"/>
      <c r="T15" s="707"/>
      <c r="U15" s="707"/>
      <c r="V15" s="707"/>
      <c r="W15" s="707"/>
      <c r="X15" s="707"/>
      <c r="Y15" s="707"/>
      <c r="Z15" s="707"/>
      <c r="AA15" s="707"/>
      <c r="AB15" s="707"/>
      <c r="AC15" s="707"/>
      <c r="AD15" s="707"/>
      <c r="AE15" s="707"/>
      <c r="AF15" s="707"/>
      <c r="AG15" s="707"/>
      <c r="AH15" s="707"/>
      <c r="AI15" s="707"/>
      <c r="AJ15" s="708"/>
      <c r="AK15" s="144"/>
      <c r="AL15" s="145"/>
      <c r="AM15" s="263"/>
      <c r="AN15" s="264"/>
      <c r="AO15" s="265"/>
      <c r="AP15" s="263"/>
      <c r="AQ15" s="264"/>
      <c r="AR15" s="266"/>
    </row>
    <row r="16" spans="2:44" s="1" customFormat="1" ht="24.95" customHeight="1">
      <c r="B16" s="683">
        <v>2</v>
      </c>
      <c r="C16" s="685" t="str">
        <f>IF(G16&lt;&gt;"",パラメータ!$B$7,"")</f>
        <v/>
      </c>
      <c r="D16" s="686"/>
      <c r="E16" s="686"/>
      <c r="F16" s="687"/>
      <c r="G16" s="136" t="str">
        <f>IF(請求内容入力シート!$C$5&lt;&gt;"",LEFT(RIGHT("0000000000"&amp;請求内容入力シート!$C$5,10),1),"")</f>
        <v/>
      </c>
      <c r="H16" s="137" t="str">
        <f>IF(請求内容入力シート!$C$5&lt;&gt;"",LEFT(RIGHT("0000000000"&amp;請求内容入力シート!$C$5,9),1),"")</f>
        <v/>
      </c>
      <c r="I16" s="137" t="str">
        <f>IF(請求内容入力シート!$C$5&lt;&gt;"",LEFT(RIGHT("0000000000"&amp;請求内容入力シート!$C$5,8),1),"")</f>
        <v/>
      </c>
      <c r="J16" s="138" t="str">
        <f>IF(請求内容入力シート!$C$5&lt;&gt;"",LEFT(RIGHT("0000000000"&amp;請求内容入力シート!$C$5,7),1),"")</f>
        <v/>
      </c>
      <c r="K16" s="127" t="s">
        <v>117</v>
      </c>
      <c r="L16" s="136" t="str">
        <f>IF(請求内容入力シート!$C$5&lt;&gt;"",LEFT(RIGHT("0000000000"&amp;請求内容入力シート!$C$5,6),1),"")</f>
        <v/>
      </c>
      <c r="M16" s="137" t="str">
        <f>IF(請求内容入力シート!$C$5&lt;&gt;"",LEFT(RIGHT("0000000000"&amp;請求内容入力シート!$C$5,5),1),"")</f>
        <v/>
      </c>
      <c r="N16" s="137" t="str">
        <f>IF(請求内容入力シート!$C$5&lt;&gt;"",LEFT(RIGHT("0000000000"&amp;請求内容入力シート!$C$5,4),1),"")</f>
        <v/>
      </c>
      <c r="O16" s="137" t="str">
        <f>IF(請求内容入力シート!$C$5&lt;&gt;"",LEFT(RIGHT("0000000000"&amp;請求内容入力シート!$C$5,3),1),"")</f>
        <v/>
      </c>
      <c r="P16" s="137" t="str">
        <f>IF(請求内容入力シート!$C$5&lt;&gt;"",LEFT(RIGHT("0000000000"&amp;請求内容入力シート!$C$5,2),1),"")</f>
        <v/>
      </c>
      <c r="Q16" s="138" t="str">
        <f>IF(請求内容入力シート!$C$5&lt;&gt;"",LEFT(RIGHT("0000000000"&amp;請求内容入力シート!$C$5,1),1),"")</f>
        <v/>
      </c>
      <c r="R16" s="697" t="str">
        <f>IF(請求内容入力シート!$D$5&lt;&gt;"",請求内容入力シート!$D$5,"")</f>
        <v/>
      </c>
      <c r="S16" s="698"/>
      <c r="T16" s="698"/>
      <c r="U16" s="698"/>
      <c r="V16" s="698"/>
      <c r="W16" s="698"/>
      <c r="X16" s="698"/>
      <c r="Y16" s="698"/>
      <c r="Z16" s="698"/>
      <c r="AA16" s="698"/>
      <c r="AB16" s="698"/>
      <c r="AC16" s="698"/>
      <c r="AD16" s="698"/>
      <c r="AE16" s="698"/>
      <c r="AF16" s="698"/>
      <c r="AG16" s="698"/>
      <c r="AH16" s="698"/>
      <c r="AI16" s="698"/>
      <c r="AJ16" s="699"/>
      <c r="AK16" s="149"/>
      <c r="AL16" s="150"/>
      <c r="AM16" s="151"/>
      <c r="AN16" s="152"/>
      <c r="AO16" s="150"/>
      <c r="AP16" s="151"/>
      <c r="AQ16" s="152"/>
      <c r="AR16" s="153"/>
    </row>
    <row r="17" spans="1:44" s="1" customFormat="1" ht="24.95" customHeight="1">
      <c r="B17" s="684"/>
      <c r="C17" s="688"/>
      <c r="D17" s="689"/>
      <c r="E17" s="689"/>
      <c r="F17" s="690"/>
      <c r="G17" s="691" t="str">
        <f>IF(請求内容入力シート!$I$5&lt;&gt;"",請求内容入力シート!$I$5,"")</f>
        <v/>
      </c>
      <c r="H17" s="692"/>
      <c r="I17" s="692"/>
      <c r="J17" s="692"/>
      <c r="K17" s="692"/>
      <c r="L17" s="692"/>
      <c r="M17" s="692"/>
      <c r="N17" s="692"/>
      <c r="O17" s="692"/>
      <c r="P17" s="692"/>
      <c r="Q17" s="693"/>
      <c r="R17" s="694" t="str">
        <f>IF(請求内容入力シート!$E$5&lt;&gt;"",請求内容入力シート!$E$5,"")</f>
        <v/>
      </c>
      <c r="S17" s="695"/>
      <c r="T17" s="695"/>
      <c r="U17" s="695"/>
      <c r="V17" s="695"/>
      <c r="W17" s="695"/>
      <c r="X17" s="695"/>
      <c r="Y17" s="695"/>
      <c r="Z17" s="695"/>
      <c r="AA17" s="695"/>
      <c r="AB17" s="695"/>
      <c r="AC17" s="695"/>
      <c r="AD17" s="695"/>
      <c r="AE17" s="695"/>
      <c r="AF17" s="695"/>
      <c r="AG17" s="695"/>
      <c r="AH17" s="695"/>
      <c r="AI17" s="695"/>
      <c r="AJ17" s="696"/>
      <c r="AK17" s="144" t="str">
        <f>IF(請求内容入力シート!$F$5&lt;&gt;"",LEFT(RIGHT("        "&amp;請求内容入力シート!$F$5,8),1),"")</f>
        <v/>
      </c>
      <c r="AL17" s="145" t="str">
        <f>IF(請求内容入力シート!$F$5&lt;&gt;"",LEFT(RIGHT("        "&amp;請求内容入力シート!$F$5,7),1),"")</f>
        <v/>
      </c>
      <c r="AM17" s="146" t="str">
        <f>IF(請求内容入力シート!$F$5&lt;&gt;"",LEFT(RIGHT("        "&amp;請求内容入力シート!$F$5,6),1),"")</f>
        <v/>
      </c>
      <c r="AN17" s="147" t="str">
        <f>IF(請求内容入力シート!$F$5&lt;&gt;"",LEFT(RIGHT("        "&amp;請求内容入力シート!$F$5,5),1),"")</f>
        <v/>
      </c>
      <c r="AO17" s="145" t="str">
        <f>IF(請求内容入力シート!$F$5&lt;&gt;"",LEFT(RIGHT("        "&amp;請求内容入力シート!$F$5,4),1),"")</f>
        <v/>
      </c>
      <c r="AP17" s="146" t="str">
        <f>IF(請求内容入力シート!$F$5&lt;&gt;"",LEFT(RIGHT("        "&amp;請求内容入力シート!$F$5,3),1),"")</f>
        <v/>
      </c>
      <c r="AQ17" s="147" t="str">
        <f>IF(請求内容入力シート!$F$5&lt;&gt;"",LEFT(RIGHT("        "&amp;請求内容入力シート!$F$5,2),1),"")</f>
        <v/>
      </c>
      <c r="AR17" s="148" t="str">
        <f>IF(請求内容入力シート!$F$5&lt;&gt;"",LEFT(RIGHT("        "&amp;請求内容入力シート!$F$5,1),1),"")</f>
        <v/>
      </c>
    </row>
    <row r="18" spans="1:44" s="1" customFormat="1" ht="24.95" customHeight="1">
      <c r="B18" s="683">
        <v>3</v>
      </c>
      <c r="C18" s="685" t="str">
        <f>IF(G18&lt;&gt;"",パラメータ!$B$7,"")</f>
        <v/>
      </c>
      <c r="D18" s="686"/>
      <c r="E18" s="686"/>
      <c r="F18" s="687"/>
      <c r="G18" s="136" t="str">
        <f>IF(請求内容入力シート!$C$6&lt;&gt;"",LEFT(RIGHT("0000000000"&amp;請求内容入力シート!$C$6,10),1),"")</f>
        <v/>
      </c>
      <c r="H18" s="137" t="str">
        <f>IF(請求内容入力シート!$C$6&lt;&gt;"",LEFT(RIGHT("0000000000"&amp;請求内容入力シート!$C$6,9),1),"")</f>
        <v/>
      </c>
      <c r="I18" s="137" t="str">
        <f>IF(請求内容入力シート!$C$6&lt;&gt;"",LEFT(RIGHT("0000000000"&amp;請求内容入力シート!$C$6,8),1),"")</f>
        <v/>
      </c>
      <c r="J18" s="138" t="str">
        <f>IF(請求内容入力シート!$C$6&lt;&gt;"",LEFT(RIGHT("0000000000"&amp;請求内容入力シート!$C$6,7),1),"")</f>
        <v/>
      </c>
      <c r="K18" s="127" t="s">
        <v>117</v>
      </c>
      <c r="L18" s="136" t="str">
        <f>IF(請求内容入力シート!$C$6&lt;&gt;"",LEFT(RIGHT("0000000000"&amp;請求内容入力シート!$C$6,6),1),"")</f>
        <v/>
      </c>
      <c r="M18" s="137" t="str">
        <f>IF(請求内容入力シート!$C$6&lt;&gt;"",LEFT(RIGHT("0000000000"&amp;請求内容入力シート!$C$6,5),1),"")</f>
        <v/>
      </c>
      <c r="N18" s="137" t="str">
        <f>IF(請求内容入力シート!$C$6&lt;&gt;"",LEFT(RIGHT("0000000000"&amp;請求内容入力シート!$C$6,4),1),"")</f>
        <v/>
      </c>
      <c r="O18" s="137" t="str">
        <f>IF(請求内容入力シート!$C$6&lt;&gt;"",LEFT(RIGHT("0000000000"&amp;請求内容入力シート!$C$6,3),1),"")</f>
        <v/>
      </c>
      <c r="P18" s="137" t="str">
        <f>IF(請求内容入力シート!$C$6&lt;&gt;"",LEFT(RIGHT("0000000000"&amp;請求内容入力シート!$C$6,2),1),"")</f>
        <v/>
      </c>
      <c r="Q18" s="138" t="str">
        <f>IF(請求内容入力シート!$C$6&lt;&gt;"",LEFT(RIGHT("0000000000"&amp;請求内容入力シート!$C$6,1),1),"")</f>
        <v/>
      </c>
      <c r="R18" s="697" t="str">
        <f>IF(請求内容入力シート!$D$6&lt;&gt;"",請求内容入力シート!$D$6,"")</f>
        <v/>
      </c>
      <c r="S18" s="698"/>
      <c r="T18" s="698"/>
      <c r="U18" s="698"/>
      <c r="V18" s="698"/>
      <c r="W18" s="698"/>
      <c r="X18" s="698"/>
      <c r="Y18" s="698"/>
      <c r="Z18" s="698"/>
      <c r="AA18" s="698"/>
      <c r="AB18" s="698"/>
      <c r="AC18" s="698"/>
      <c r="AD18" s="698"/>
      <c r="AE18" s="698"/>
      <c r="AF18" s="698"/>
      <c r="AG18" s="698"/>
      <c r="AH18" s="698"/>
      <c r="AI18" s="698"/>
      <c r="AJ18" s="699"/>
      <c r="AK18" s="149"/>
      <c r="AL18" s="150"/>
      <c r="AM18" s="151"/>
      <c r="AN18" s="152"/>
      <c r="AO18" s="150"/>
      <c r="AP18" s="151"/>
      <c r="AQ18" s="152"/>
      <c r="AR18" s="153"/>
    </row>
    <row r="19" spans="1:44" s="1" customFormat="1" ht="24.95" customHeight="1">
      <c r="B19" s="684"/>
      <c r="C19" s="688"/>
      <c r="D19" s="689"/>
      <c r="E19" s="689"/>
      <c r="F19" s="690"/>
      <c r="G19" s="691" t="str">
        <f>IF(請求内容入力シート!$I$6&lt;&gt;"",請求内容入力シート!$I$6,"")</f>
        <v/>
      </c>
      <c r="H19" s="692"/>
      <c r="I19" s="692"/>
      <c r="J19" s="692"/>
      <c r="K19" s="692"/>
      <c r="L19" s="692"/>
      <c r="M19" s="692"/>
      <c r="N19" s="692"/>
      <c r="O19" s="692"/>
      <c r="P19" s="692"/>
      <c r="Q19" s="693"/>
      <c r="R19" s="694" t="str">
        <f>IF(請求内容入力シート!$E$6&lt;&gt;"",請求内容入力シート!$E$6,"")</f>
        <v/>
      </c>
      <c r="S19" s="695"/>
      <c r="T19" s="695"/>
      <c r="U19" s="695"/>
      <c r="V19" s="695"/>
      <c r="W19" s="695"/>
      <c r="X19" s="695"/>
      <c r="Y19" s="695"/>
      <c r="Z19" s="695"/>
      <c r="AA19" s="695"/>
      <c r="AB19" s="695"/>
      <c r="AC19" s="695"/>
      <c r="AD19" s="695"/>
      <c r="AE19" s="695"/>
      <c r="AF19" s="695"/>
      <c r="AG19" s="695"/>
      <c r="AH19" s="695"/>
      <c r="AI19" s="695"/>
      <c r="AJ19" s="696"/>
      <c r="AK19" s="144" t="str">
        <f>IF(請求内容入力シート!$F$6&lt;&gt;"",LEFT(RIGHT("        "&amp;請求内容入力シート!$F$6,8),1),"")</f>
        <v/>
      </c>
      <c r="AL19" s="145" t="str">
        <f>IF(請求内容入力シート!$F$6&lt;&gt;"",LEFT(RIGHT("        "&amp;請求内容入力シート!$F$6,7),1),"")</f>
        <v/>
      </c>
      <c r="AM19" s="146" t="str">
        <f>IF(請求内容入力シート!$F$6&lt;&gt;"",LEFT(RIGHT("        "&amp;請求内容入力シート!$F$6,6),1),"")</f>
        <v/>
      </c>
      <c r="AN19" s="147" t="str">
        <f>IF(請求内容入力シート!$F$6&lt;&gt;"",LEFT(RIGHT("        "&amp;請求内容入力シート!$F$6,5),1),"")</f>
        <v/>
      </c>
      <c r="AO19" s="145" t="str">
        <f>IF(請求内容入力シート!$F$6&lt;&gt;"",LEFT(RIGHT("        "&amp;請求内容入力シート!$F$6,4),1),"")</f>
        <v/>
      </c>
      <c r="AP19" s="146" t="str">
        <f>IF(請求内容入力シート!$F$6&lt;&gt;"",LEFT(RIGHT("        "&amp;請求内容入力シート!$F$6,3),1),"")</f>
        <v/>
      </c>
      <c r="AQ19" s="147" t="str">
        <f>IF(請求内容入力シート!$F$6&lt;&gt;"",LEFT(RIGHT("        "&amp;請求内容入力シート!$F$6,2),1),"")</f>
        <v/>
      </c>
      <c r="AR19" s="148" t="str">
        <f>IF(請求内容入力シート!$F$6&lt;&gt;"",LEFT(RIGHT("        "&amp;請求内容入力シート!$F$6,1),1),"")</f>
        <v/>
      </c>
    </row>
    <row r="20" spans="1:44" s="1" customFormat="1" ht="24.95" customHeight="1">
      <c r="B20" s="683">
        <v>4</v>
      </c>
      <c r="C20" s="685" t="str">
        <f>IF(G20&lt;&gt;"",パラメータ!$B$7,"")</f>
        <v/>
      </c>
      <c r="D20" s="686"/>
      <c r="E20" s="686"/>
      <c r="F20" s="687"/>
      <c r="G20" s="136" t="str">
        <f>IF(請求内容入力シート!$C$7&lt;&gt;"",LEFT(RIGHT("0000000000"&amp;請求内容入力シート!$C$7,10),1),"")</f>
        <v/>
      </c>
      <c r="H20" s="137" t="str">
        <f>IF(請求内容入力シート!$C$7&lt;&gt;"",LEFT(RIGHT("0000000000"&amp;請求内容入力シート!$C$7,9),1),"")</f>
        <v/>
      </c>
      <c r="I20" s="137" t="str">
        <f>IF(請求内容入力シート!$C$7&lt;&gt;"",LEFT(RIGHT("0000000000"&amp;請求内容入力シート!$C$7,8),1),"")</f>
        <v/>
      </c>
      <c r="J20" s="138" t="str">
        <f>IF(請求内容入力シート!$C$7&lt;&gt;"",LEFT(RIGHT("0000000000"&amp;請求内容入力シート!$C$7,7),1),"")</f>
        <v/>
      </c>
      <c r="K20" s="127" t="s">
        <v>117</v>
      </c>
      <c r="L20" s="136" t="str">
        <f>IF(請求内容入力シート!$C$7&lt;&gt;"",LEFT(RIGHT("0000000000"&amp;請求内容入力シート!$C$7,6),1),"")</f>
        <v/>
      </c>
      <c r="M20" s="137" t="str">
        <f>IF(請求内容入力シート!$C$7&lt;&gt;"",LEFT(RIGHT("0000000000"&amp;請求内容入力シート!$C$7,5),1),"")</f>
        <v/>
      </c>
      <c r="N20" s="137" t="str">
        <f>IF(請求内容入力シート!$C$7&lt;&gt;"",LEFT(RIGHT("0000000000"&amp;請求内容入力シート!$C$7,4),1),"")</f>
        <v/>
      </c>
      <c r="O20" s="137" t="str">
        <f>IF(請求内容入力シート!$C$7&lt;&gt;"",LEFT(RIGHT("0000000000"&amp;請求内容入力シート!$C$7,3),1),"")</f>
        <v/>
      </c>
      <c r="P20" s="137" t="str">
        <f>IF(請求内容入力シート!$C$7&lt;&gt;"",LEFT(RIGHT("0000000000"&amp;請求内容入力シート!$C$7,2),1),"")</f>
        <v/>
      </c>
      <c r="Q20" s="138" t="str">
        <f>IF(請求内容入力シート!$C$7&lt;&gt;"",LEFT(RIGHT("0000000000"&amp;請求内容入力シート!$C$7,1),1),"")</f>
        <v/>
      </c>
      <c r="R20" s="697" t="str">
        <f>IF(請求内容入力シート!$D$7&lt;&gt;"",請求内容入力シート!$D$7,"")</f>
        <v/>
      </c>
      <c r="S20" s="698"/>
      <c r="T20" s="698"/>
      <c r="U20" s="698"/>
      <c r="V20" s="698"/>
      <c r="W20" s="698"/>
      <c r="X20" s="698"/>
      <c r="Y20" s="698"/>
      <c r="Z20" s="698"/>
      <c r="AA20" s="698"/>
      <c r="AB20" s="698"/>
      <c r="AC20" s="698"/>
      <c r="AD20" s="698"/>
      <c r="AE20" s="698"/>
      <c r="AF20" s="698"/>
      <c r="AG20" s="698"/>
      <c r="AH20" s="698"/>
      <c r="AI20" s="698"/>
      <c r="AJ20" s="699"/>
      <c r="AK20" s="149"/>
      <c r="AL20" s="150"/>
      <c r="AM20" s="151"/>
      <c r="AN20" s="152"/>
      <c r="AO20" s="150"/>
      <c r="AP20" s="151"/>
      <c r="AQ20" s="152"/>
      <c r="AR20" s="153"/>
    </row>
    <row r="21" spans="1:44" s="1" customFormat="1" ht="24.95" customHeight="1">
      <c r="B21" s="684"/>
      <c r="C21" s="688"/>
      <c r="D21" s="689"/>
      <c r="E21" s="689"/>
      <c r="F21" s="690"/>
      <c r="G21" s="691" t="str">
        <f>IF(請求内容入力シート!$I$7&lt;&gt;"",請求内容入力シート!$I$7,"")</f>
        <v/>
      </c>
      <c r="H21" s="692"/>
      <c r="I21" s="692"/>
      <c r="J21" s="692"/>
      <c r="K21" s="692"/>
      <c r="L21" s="692"/>
      <c r="M21" s="692"/>
      <c r="N21" s="692"/>
      <c r="O21" s="692"/>
      <c r="P21" s="692"/>
      <c r="Q21" s="693"/>
      <c r="R21" s="694" t="str">
        <f>IF(請求内容入力シート!$E$7&lt;&gt;"",請求内容入力シート!$E$7,"")</f>
        <v/>
      </c>
      <c r="S21" s="695"/>
      <c r="T21" s="695"/>
      <c r="U21" s="695"/>
      <c r="V21" s="695"/>
      <c r="W21" s="695"/>
      <c r="X21" s="695"/>
      <c r="Y21" s="695"/>
      <c r="Z21" s="695"/>
      <c r="AA21" s="695"/>
      <c r="AB21" s="695"/>
      <c r="AC21" s="695"/>
      <c r="AD21" s="695"/>
      <c r="AE21" s="695"/>
      <c r="AF21" s="695"/>
      <c r="AG21" s="695"/>
      <c r="AH21" s="695"/>
      <c r="AI21" s="695"/>
      <c r="AJ21" s="696"/>
      <c r="AK21" s="144" t="str">
        <f>IF(請求内容入力シート!$F$7&lt;&gt;"",LEFT(RIGHT("        "&amp;請求内容入力シート!$F$7,8),1),"")</f>
        <v/>
      </c>
      <c r="AL21" s="145" t="str">
        <f>IF(請求内容入力シート!$F$7&lt;&gt;"",LEFT(RIGHT("        "&amp;請求内容入力シート!$F$7,7),1),"")</f>
        <v/>
      </c>
      <c r="AM21" s="146" t="str">
        <f>IF(請求内容入力シート!$F$7&lt;&gt;"",LEFT(RIGHT("        "&amp;請求内容入力シート!$F$7,6),1),"")</f>
        <v/>
      </c>
      <c r="AN21" s="147" t="str">
        <f>IF(請求内容入力シート!$F$7&lt;&gt;"",LEFT(RIGHT("        "&amp;請求内容入力シート!$F$7,5),1),"")</f>
        <v/>
      </c>
      <c r="AO21" s="145" t="str">
        <f>IF(請求内容入力シート!$F$7&lt;&gt;"",LEFT(RIGHT("        "&amp;請求内容入力シート!$F$7,4),1),"")</f>
        <v/>
      </c>
      <c r="AP21" s="146" t="str">
        <f>IF(請求内容入力シート!$F$7&lt;&gt;"",LEFT(RIGHT("        "&amp;請求内容入力シート!$F$7,3),1),"")</f>
        <v/>
      </c>
      <c r="AQ21" s="147" t="str">
        <f>IF(請求内容入力シート!$F$7&lt;&gt;"",LEFT(RIGHT("        "&amp;請求内容入力シート!$F$7,2),1),"")</f>
        <v/>
      </c>
      <c r="AR21" s="148" t="str">
        <f>IF(請求内容入力シート!$F$7&lt;&gt;"",LEFT(RIGHT("        "&amp;請求内容入力シート!$F$7,1),1),"")</f>
        <v/>
      </c>
    </row>
    <row r="22" spans="1:44" s="1" customFormat="1" ht="24.95" customHeight="1">
      <c r="B22" s="683">
        <v>5</v>
      </c>
      <c r="C22" s="685" t="str">
        <f>IF(G22&lt;&gt;"",パラメータ!$B$7,"")</f>
        <v/>
      </c>
      <c r="D22" s="686"/>
      <c r="E22" s="686"/>
      <c r="F22" s="687"/>
      <c r="G22" s="136" t="str">
        <f>IF(請求内容入力シート!$C$8&lt;&gt;"",LEFT(RIGHT("0000000000"&amp;請求内容入力シート!$C$8,10),1),"")</f>
        <v/>
      </c>
      <c r="H22" s="137" t="str">
        <f>IF(請求内容入力シート!$C$8&lt;&gt;"",LEFT(RIGHT("0000000000"&amp;請求内容入力シート!$C$8,9),1),"")</f>
        <v/>
      </c>
      <c r="I22" s="137" t="str">
        <f>IF(請求内容入力シート!$C$8&lt;&gt;"",LEFT(RIGHT("0000000000"&amp;請求内容入力シート!$C$8,8),1),"")</f>
        <v/>
      </c>
      <c r="J22" s="138" t="str">
        <f>IF(請求内容入力シート!$C$8&lt;&gt;"",LEFT(RIGHT("0000000000"&amp;請求内容入力シート!$C$8,7),1),"")</f>
        <v/>
      </c>
      <c r="K22" s="127" t="s">
        <v>117</v>
      </c>
      <c r="L22" s="136" t="str">
        <f>IF(請求内容入力シート!$C$8&lt;&gt;"",LEFT(RIGHT("0000000000"&amp;請求内容入力シート!$C$8,6),1),"")</f>
        <v/>
      </c>
      <c r="M22" s="137" t="str">
        <f>IF(請求内容入力シート!$C$8&lt;&gt;"",LEFT(RIGHT("0000000000"&amp;請求内容入力シート!$C$8,5),1),"")</f>
        <v/>
      </c>
      <c r="N22" s="137" t="str">
        <f>IF(請求内容入力シート!$C$8&lt;&gt;"",LEFT(RIGHT("0000000000"&amp;請求内容入力シート!$C$8,4),1),"")</f>
        <v/>
      </c>
      <c r="O22" s="137" t="str">
        <f>IF(請求内容入力シート!$C$8&lt;&gt;"",LEFT(RIGHT("0000000000"&amp;請求内容入力シート!$C$8,3),1),"")</f>
        <v/>
      </c>
      <c r="P22" s="137" t="str">
        <f>IF(請求内容入力シート!$C$8&lt;&gt;"",LEFT(RIGHT("0000000000"&amp;請求内容入力シート!$C$8,2),1),"")</f>
        <v/>
      </c>
      <c r="Q22" s="138" t="str">
        <f>IF(請求内容入力シート!$C$8&lt;&gt;"",LEFT(RIGHT("0000000000"&amp;請求内容入力シート!$C$8,1),1),"")</f>
        <v/>
      </c>
      <c r="R22" s="697" t="str">
        <f>IF(請求内容入力シート!$D$8&lt;&gt;"",請求内容入力シート!$D$8,"")</f>
        <v/>
      </c>
      <c r="S22" s="698"/>
      <c r="T22" s="698"/>
      <c r="U22" s="698"/>
      <c r="V22" s="698"/>
      <c r="W22" s="698"/>
      <c r="X22" s="698"/>
      <c r="Y22" s="698"/>
      <c r="Z22" s="698"/>
      <c r="AA22" s="698"/>
      <c r="AB22" s="698"/>
      <c r="AC22" s="698"/>
      <c r="AD22" s="698"/>
      <c r="AE22" s="698"/>
      <c r="AF22" s="698"/>
      <c r="AG22" s="698"/>
      <c r="AH22" s="698"/>
      <c r="AI22" s="698"/>
      <c r="AJ22" s="699"/>
      <c r="AK22" s="149"/>
      <c r="AL22" s="150"/>
      <c r="AM22" s="151"/>
      <c r="AN22" s="152"/>
      <c r="AO22" s="150"/>
      <c r="AP22" s="151"/>
      <c r="AQ22" s="152"/>
      <c r="AR22" s="153"/>
    </row>
    <row r="23" spans="1:44" s="1" customFormat="1" ht="24.95" customHeight="1">
      <c r="B23" s="684"/>
      <c r="C23" s="688"/>
      <c r="D23" s="689"/>
      <c r="E23" s="689"/>
      <c r="F23" s="690"/>
      <c r="G23" s="691" t="str">
        <f>IF(請求内容入力シート!$I$8&lt;&gt;"",請求内容入力シート!$I$8,"")</f>
        <v/>
      </c>
      <c r="H23" s="692"/>
      <c r="I23" s="692"/>
      <c r="J23" s="692"/>
      <c r="K23" s="692"/>
      <c r="L23" s="692"/>
      <c r="M23" s="692"/>
      <c r="N23" s="692"/>
      <c r="O23" s="692"/>
      <c r="P23" s="692"/>
      <c r="Q23" s="693"/>
      <c r="R23" s="694" t="str">
        <f>IF(請求内容入力シート!$E$8&lt;&gt;"",請求内容入力シート!$E$8,"")</f>
        <v/>
      </c>
      <c r="S23" s="695"/>
      <c r="T23" s="695"/>
      <c r="U23" s="695"/>
      <c r="V23" s="695"/>
      <c r="W23" s="695"/>
      <c r="X23" s="695"/>
      <c r="Y23" s="695"/>
      <c r="Z23" s="695"/>
      <c r="AA23" s="695"/>
      <c r="AB23" s="695"/>
      <c r="AC23" s="695"/>
      <c r="AD23" s="695"/>
      <c r="AE23" s="695"/>
      <c r="AF23" s="695"/>
      <c r="AG23" s="695"/>
      <c r="AH23" s="695"/>
      <c r="AI23" s="695"/>
      <c r="AJ23" s="696"/>
      <c r="AK23" s="144" t="str">
        <f>IF(請求内容入力シート!$F$8&lt;&gt;"",LEFT(RIGHT("        "&amp;請求内容入力シート!$F$8,8),1),"")</f>
        <v/>
      </c>
      <c r="AL23" s="145" t="str">
        <f>IF(請求内容入力シート!$F$8&lt;&gt;"",LEFT(RIGHT("        "&amp;請求内容入力シート!$F$8,7),1),"")</f>
        <v/>
      </c>
      <c r="AM23" s="146" t="str">
        <f>IF(請求内容入力シート!$F$8&lt;&gt;"",LEFT(RIGHT("        "&amp;請求内容入力シート!$F$8,6),1),"")</f>
        <v/>
      </c>
      <c r="AN23" s="147" t="str">
        <f>IF(請求内容入力シート!$F$8&lt;&gt;"",LEFT(RIGHT("        "&amp;請求内容入力シート!$F$8,5),1),"")</f>
        <v/>
      </c>
      <c r="AO23" s="145" t="str">
        <f>IF(請求内容入力シート!$F$8&lt;&gt;"",LEFT(RIGHT("        "&amp;請求内容入力シート!$F$8,4),1),"")</f>
        <v/>
      </c>
      <c r="AP23" s="146" t="str">
        <f>IF(請求内容入力シート!$F$8&lt;&gt;"",LEFT(RIGHT("        "&amp;請求内容入力シート!$F$8,3),1),"")</f>
        <v/>
      </c>
      <c r="AQ23" s="147" t="str">
        <f>IF(請求内容入力シート!$F$8&lt;&gt;"",LEFT(RIGHT("        "&amp;請求内容入力シート!$F$8,2),1),"")</f>
        <v/>
      </c>
      <c r="AR23" s="148" t="str">
        <f>IF(請求内容入力シート!$F$8&lt;&gt;"",LEFT(RIGHT("        "&amp;請求内容入力シート!$F$8,1),1),"")</f>
        <v/>
      </c>
    </row>
    <row r="24" spans="1:44" s="1" customFormat="1" ht="24.95" customHeight="1">
      <c r="B24" s="683">
        <v>6</v>
      </c>
      <c r="C24" s="685" t="str">
        <f>IF(G24&lt;&gt;"",パラメータ!$B$7,"")</f>
        <v/>
      </c>
      <c r="D24" s="686"/>
      <c r="E24" s="686"/>
      <c r="F24" s="687"/>
      <c r="G24" s="136" t="str">
        <f>IF(請求内容入力シート!$C$9&lt;&gt;"",LEFT(RIGHT("0000000000"&amp;請求内容入力シート!$C$9,10),1),"")</f>
        <v/>
      </c>
      <c r="H24" s="137" t="str">
        <f>IF(請求内容入力シート!$C$9&lt;&gt;"",LEFT(RIGHT("0000000000"&amp;請求内容入力シート!$C$9,9),1),"")</f>
        <v/>
      </c>
      <c r="I24" s="137" t="str">
        <f>IF(請求内容入力シート!$C$9&lt;&gt;"",LEFT(RIGHT("0000000000"&amp;請求内容入力シート!$C$9,8),1),"")</f>
        <v/>
      </c>
      <c r="J24" s="138" t="str">
        <f>IF(請求内容入力シート!$C$9&lt;&gt;"",LEFT(RIGHT("0000000000"&amp;請求内容入力シート!$C$9,7),1),"")</f>
        <v/>
      </c>
      <c r="K24" s="127" t="s">
        <v>117</v>
      </c>
      <c r="L24" s="136" t="str">
        <f>IF(請求内容入力シート!$C$9&lt;&gt;"",LEFT(RIGHT("0000000000"&amp;請求内容入力シート!$C$9,6),1),"")</f>
        <v/>
      </c>
      <c r="M24" s="137" t="str">
        <f>IF(請求内容入力シート!$C$9&lt;&gt;"",LEFT(RIGHT("0000000000"&amp;請求内容入力シート!$C$9,5),1),"")</f>
        <v/>
      </c>
      <c r="N24" s="137" t="str">
        <f>IF(請求内容入力シート!$C$9&lt;&gt;"",LEFT(RIGHT("0000000000"&amp;請求内容入力シート!$C$9,4),1),"")</f>
        <v/>
      </c>
      <c r="O24" s="137" t="str">
        <f>IF(請求内容入力シート!$C$9&lt;&gt;"",LEFT(RIGHT("0000000000"&amp;請求内容入力シート!$C$9,3),1),"")</f>
        <v/>
      </c>
      <c r="P24" s="137" t="str">
        <f>IF(請求内容入力シート!$C$9&lt;&gt;"",LEFT(RIGHT("0000000000"&amp;請求内容入力シート!$C$9,2),1),"")</f>
        <v/>
      </c>
      <c r="Q24" s="138" t="str">
        <f>IF(請求内容入力シート!$C$9&lt;&gt;"",LEFT(RIGHT("0000000000"&amp;請求内容入力シート!$C$9,1),1),"")</f>
        <v/>
      </c>
      <c r="R24" s="697" t="str">
        <f>IF(請求内容入力シート!$D$9&lt;&gt;"",請求内容入力シート!$D$9,"")</f>
        <v/>
      </c>
      <c r="S24" s="698"/>
      <c r="T24" s="698"/>
      <c r="U24" s="698"/>
      <c r="V24" s="698"/>
      <c r="W24" s="698"/>
      <c r="X24" s="698"/>
      <c r="Y24" s="698"/>
      <c r="Z24" s="698"/>
      <c r="AA24" s="698"/>
      <c r="AB24" s="698"/>
      <c r="AC24" s="698"/>
      <c r="AD24" s="698"/>
      <c r="AE24" s="698"/>
      <c r="AF24" s="698"/>
      <c r="AG24" s="698"/>
      <c r="AH24" s="698"/>
      <c r="AI24" s="698"/>
      <c r="AJ24" s="699"/>
      <c r="AK24" s="149"/>
      <c r="AL24" s="150"/>
      <c r="AM24" s="151"/>
      <c r="AN24" s="152"/>
      <c r="AO24" s="150"/>
      <c r="AP24" s="151"/>
      <c r="AQ24" s="152"/>
      <c r="AR24" s="153"/>
    </row>
    <row r="25" spans="1:44" s="1" customFormat="1" ht="24.95" customHeight="1">
      <c r="B25" s="684"/>
      <c r="C25" s="688"/>
      <c r="D25" s="689"/>
      <c r="E25" s="689"/>
      <c r="F25" s="690"/>
      <c r="G25" s="691" t="str">
        <f>IF(請求内容入力シート!$I$9&lt;&gt;"",請求内容入力シート!$I$9,"")</f>
        <v/>
      </c>
      <c r="H25" s="692"/>
      <c r="I25" s="692"/>
      <c r="J25" s="692"/>
      <c r="K25" s="692"/>
      <c r="L25" s="692"/>
      <c r="M25" s="692"/>
      <c r="N25" s="692"/>
      <c r="O25" s="692"/>
      <c r="P25" s="692"/>
      <c r="Q25" s="693"/>
      <c r="R25" s="694" t="str">
        <f>IF(請求内容入力シート!$E$9&lt;&gt;"",請求内容入力シート!$E$9,"")</f>
        <v/>
      </c>
      <c r="S25" s="695"/>
      <c r="T25" s="695"/>
      <c r="U25" s="695"/>
      <c r="V25" s="695"/>
      <c r="W25" s="695"/>
      <c r="X25" s="695"/>
      <c r="Y25" s="695"/>
      <c r="Z25" s="695"/>
      <c r="AA25" s="695"/>
      <c r="AB25" s="695"/>
      <c r="AC25" s="695"/>
      <c r="AD25" s="695"/>
      <c r="AE25" s="695"/>
      <c r="AF25" s="695"/>
      <c r="AG25" s="695"/>
      <c r="AH25" s="695"/>
      <c r="AI25" s="695"/>
      <c r="AJ25" s="696"/>
      <c r="AK25" s="144" t="str">
        <f>IF(請求内容入力シート!$F$9&lt;&gt;"",LEFT(RIGHT("        "&amp;請求内容入力シート!$F$9,8),1),"")</f>
        <v/>
      </c>
      <c r="AL25" s="145" t="str">
        <f>IF(請求内容入力シート!$F$9&lt;&gt;"",LEFT(RIGHT("        "&amp;請求内容入力シート!$F$9,7),1),"")</f>
        <v/>
      </c>
      <c r="AM25" s="146" t="str">
        <f>IF(請求内容入力シート!$F$9&lt;&gt;"",LEFT(RIGHT("        "&amp;請求内容入力シート!$F$9,6),1),"")</f>
        <v/>
      </c>
      <c r="AN25" s="147" t="str">
        <f>IF(請求内容入力シート!$F$9&lt;&gt;"",LEFT(RIGHT("        "&amp;請求内容入力シート!$F$9,5),1),"")</f>
        <v/>
      </c>
      <c r="AO25" s="145" t="str">
        <f>IF(請求内容入力シート!$F$9&lt;&gt;"",LEFT(RIGHT("        "&amp;請求内容入力シート!$F$9,4),1),"")</f>
        <v/>
      </c>
      <c r="AP25" s="146" t="str">
        <f>IF(請求内容入力シート!$F$9&lt;&gt;"",LEFT(RIGHT("        "&amp;請求内容入力シート!$F$9,3),1),"")</f>
        <v/>
      </c>
      <c r="AQ25" s="147" t="str">
        <f>IF(請求内容入力シート!$F$9&lt;&gt;"",LEFT(RIGHT("        "&amp;請求内容入力シート!$F$9,2),1),"")</f>
        <v/>
      </c>
      <c r="AR25" s="148" t="str">
        <f>IF(請求内容入力シート!$F$9&lt;&gt;"",LEFT(RIGHT("        "&amp;請求内容入力シート!$F$9,1),1),"")</f>
        <v/>
      </c>
    </row>
    <row r="26" spans="1:44" s="1" customFormat="1" ht="24.95" customHeight="1">
      <c r="B26" s="683">
        <v>7</v>
      </c>
      <c r="C26" s="685" t="str">
        <f>IF(G26&lt;&gt;"",パラメータ!$B$7,"")</f>
        <v/>
      </c>
      <c r="D26" s="686"/>
      <c r="E26" s="686"/>
      <c r="F26" s="687"/>
      <c r="G26" s="136" t="str">
        <f>IF(請求内容入力シート!$C$10&lt;&gt;"",LEFT(RIGHT("0000000000"&amp;請求内容入力シート!$C$10,10),1),"")</f>
        <v/>
      </c>
      <c r="H26" s="137" t="str">
        <f>IF(請求内容入力シート!$C$10&lt;&gt;"",LEFT(RIGHT("0000000000"&amp;請求内容入力シート!$C$10,9),1),"")</f>
        <v/>
      </c>
      <c r="I26" s="137" t="str">
        <f>IF(請求内容入力シート!$C$10&lt;&gt;"",LEFT(RIGHT("0000000000"&amp;請求内容入力シート!$C$10,8),1),"")</f>
        <v/>
      </c>
      <c r="J26" s="138" t="str">
        <f>IF(請求内容入力シート!$C$10&lt;&gt;"",LEFT(RIGHT("0000000000"&amp;請求内容入力シート!$C$10,7),1),"")</f>
        <v/>
      </c>
      <c r="K26" s="127" t="s">
        <v>117</v>
      </c>
      <c r="L26" s="136" t="str">
        <f>IF(請求内容入力シート!$C$10&lt;&gt;"",LEFT(RIGHT("0000000000"&amp;請求内容入力シート!$C$10,6),1),"")</f>
        <v/>
      </c>
      <c r="M26" s="137" t="str">
        <f>IF(請求内容入力シート!$C$10&lt;&gt;"",LEFT(RIGHT("0000000000"&amp;請求内容入力シート!$C$10,5),1),"")</f>
        <v/>
      </c>
      <c r="N26" s="137" t="str">
        <f>IF(請求内容入力シート!$C$10&lt;&gt;"",LEFT(RIGHT("0000000000"&amp;請求内容入力シート!$C$10,4),1),"")</f>
        <v/>
      </c>
      <c r="O26" s="137" t="str">
        <f>IF(請求内容入力シート!$C$10&lt;&gt;"",LEFT(RIGHT("0000000000"&amp;請求内容入力シート!$C$10,3),1),"")</f>
        <v/>
      </c>
      <c r="P26" s="137" t="str">
        <f>IF(請求内容入力シート!$C$10&lt;&gt;"",LEFT(RIGHT("0000000000"&amp;請求内容入力シート!$C$10,2),1),"")</f>
        <v/>
      </c>
      <c r="Q26" s="138" t="str">
        <f>IF(請求内容入力シート!$C$10&lt;&gt;"",LEFT(RIGHT("0000000000"&amp;請求内容入力シート!$C$10,1),1),"")</f>
        <v/>
      </c>
      <c r="R26" s="697" t="str">
        <f>IF(請求内容入力シート!$D$10&lt;&gt;"",請求内容入力シート!$D$10,"")</f>
        <v/>
      </c>
      <c r="S26" s="698"/>
      <c r="T26" s="698"/>
      <c r="U26" s="698"/>
      <c r="V26" s="698"/>
      <c r="W26" s="698"/>
      <c r="X26" s="698"/>
      <c r="Y26" s="698"/>
      <c r="Z26" s="698"/>
      <c r="AA26" s="698"/>
      <c r="AB26" s="698"/>
      <c r="AC26" s="698"/>
      <c r="AD26" s="698"/>
      <c r="AE26" s="698"/>
      <c r="AF26" s="698"/>
      <c r="AG26" s="698"/>
      <c r="AH26" s="698"/>
      <c r="AI26" s="698"/>
      <c r="AJ26" s="699"/>
      <c r="AK26" s="149"/>
      <c r="AL26" s="150"/>
      <c r="AM26" s="151"/>
      <c r="AN26" s="152"/>
      <c r="AO26" s="150"/>
      <c r="AP26" s="151"/>
      <c r="AQ26" s="152"/>
      <c r="AR26" s="153"/>
    </row>
    <row r="27" spans="1:44" s="1" customFormat="1" ht="24.95" customHeight="1" thickBot="1">
      <c r="B27" s="739"/>
      <c r="C27" s="740"/>
      <c r="D27" s="702"/>
      <c r="E27" s="702"/>
      <c r="F27" s="703"/>
      <c r="G27" s="741" t="str">
        <f>IF(請求内容入力シート!$I$10&lt;&gt;"",請求内容入力シート!$I$10,"")</f>
        <v/>
      </c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744" t="str">
        <f>IF(請求内容入力シート!$E$10&lt;&gt;"",請求内容入力シート!$E$10,"")</f>
        <v/>
      </c>
      <c r="S27" s="745"/>
      <c r="T27" s="745"/>
      <c r="U27" s="745"/>
      <c r="V27" s="745"/>
      <c r="W27" s="745"/>
      <c r="X27" s="745"/>
      <c r="Y27" s="745"/>
      <c r="Z27" s="745"/>
      <c r="AA27" s="745"/>
      <c r="AB27" s="745"/>
      <c r="AC27" s="745"/>
      <c r="AD27" s="745"/>
      <c r="AE27" s="745"/>
      <c r="AF27" s="745"/>
      <c r="AG27" s="745"/>
      <c r="AH27" s="745"/>
      <c r="AI27" s="745"/>
      <c r="AJ27" s="746"/>
      <c r="AK27" s="139" t="str">
        <f>IF(請求内容入力シート!$F$10&lt;&gt;"",LEFT(RIGHT("        "&amp;請求内容入力シート!$F$10,8),1),"")</f>
        <v/>
      </c>
      <c r="AL27" s="140" t="str">
        <f>IF(請求内容入力シート!$F$10&lt;&gt;"",LEFT(RIGHT("        "&amp;請求内容入力シート!$F$10,7),1),"")</f>
        <v/>
      </c>
      <c r="AM27" s="141" t="str">
        <f>IF(請求内容入力シート!$F$10&lt;&gt;"",LEFT(RIGHT("        "&amp;請求内容入力シート!$F$10,6),1),"")</f>
        <v/>
      </c>
      <c r="AN27" s="142" t="str">
        <f>IF(請求内容入力シート!$F$10&lt;&gt;"",LEFT(RIGHT("        "&amp;請求内容入力シート!$F$10,5),1),"")</f>
        <v/>
      </c>
      <c r="AO27" s="140" t="str">
        <f>IF(請求内容入力シート!$F$10&lt;&gt;"",LEFT(RIGHT("        "&amp;請求内容入力シート!$F$10,4),1),"")</f>
        <v/>
      </c>
      <c r="AP27" s="141" t="str">
        <f>IF(請求内容入力シート!$F$10&lt;&gt;"",LEFT(RIGHT("        "&amp;請求内容入力シート!$F$10,3),1),"")</f>
        <v/>
      </c>
      <c r="AQ27" s="142" t="str">
        <f>IF(請求内容入力シート!$F$10&lt;&gt;"",LEFT(RIGHT("        "&amp;請求内容入力シート!$F$10,2),1),"")</f>
        <v/>
      </c>
      <c r="AR27" s="143" t="str">
        <f>IF(請求内容入力シート!$F$10&lt;&gt;"",LEFT(RIGHT("        "&amp;請求内容入力シート!$F$10,1),1),"")</f>
        <v/>
      </c>
    </row>
    <row r="28" spans="1:44" s="1" customFormat="1" ht="24.95" customHeight="1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8" t="s">
        <v>3</v>
      </c>
      <c r="AE28" s="747" t="s">
        <v>4</v>
      </c>
      <c r="AF28" s="748"/>
      <c r="AG28" s="748"/>
      <c r="AH28" s="748"/>
      <c r="AI28" s="748"/>
      <c r="AJ28" s="748"/>
      <c r="AK28" s="154" t="str">
        <f>IF(請求内容入力シート!$P$19&lt;&gt;"",LEFT(RIGHT("        "&amp;請求内容入力シート!$P$19,8),1),"")</f>
        <v xml:space="preserve"> </v>
      </c>
      <c r="AL28" s="155" t="str">
        <f>IF(請求内容入力シート!$P$19&lt;&gt;"",LEFT(RIGHT("        "&amp;請求内容入力シート!$P$19,7),1),"")</f>
        <v xml:space="preserve"> </v>
      </c>
      <c r="AM28" s="156" t="str">
        <f>IF(請求内容入力シート!$P$19&lt;&gt;"",LEFT(RIGHT("        "&amp;請求内容入力シート!$P$19,6),1),"")</f>
        <v>4</v>
      </c>
      <c r="AN28" s="157" t="str">
        <f>IF(請求内容入力シート!$P$19&lt;&gt;"",LEFT(RIGHT("        "&amp;請求内容入力シート!$P$19,5),1),"")</f>
        <v>0</v>
      </c>
      <c r="AO28" s="155" t="str">
        <f>IF(請求内容入力シート!$P$19&lt;&gt;"",LEFT(RIGHT("        "&amp;請求内容入力シート!$P$19,4),1),"")</f>
        <v>0</v>
      </c>
      <c r="AP28" s="156" t="str">
        <f>IF(請求内容入力シート!$P$19&lt;&gt;"",LEFT(RIGHT("        "&amp;請求内容入力シート!$P$19,3),1),"")</f>
        <v>0</v>
      </c>
      <c r="AQ28" s="157" t="str">
        <f>IF(請求内容入力シート!$P$19&lt;&gt;"",LEFT(RIGHT("        "&amp;請求内容入力シート!$P$19,2),1),"")</f>
        <v>0</v>
      </c>
      <c r="AR28" s="158" t="str">
        <f>IF(請求内容入力シート!$P$19&lt;&gt;"",LEFT(RIGHT("        "&amp;請求内容入力シート!$P$19,1),1),"")</f>
        <v>0</v>
      </c>
    </row>
    <row r="29" spans="1:44" s="1" customFormat="1" ht="24.95" customHeight="1">
      <c r="B29" s="749" t="s">
        <v>7</v>
      </c>
      <c r="C29" s="749"/>
      <c r="D29" s="749"/>
      <c r="E29" s="749"/>
      <c r="F29" s="749"/>
      <c r="AD29" s="19"/>
      <c r="AE29" s="750" t="s">
        <v>5</v>
      </c>
      <c r="AF29" s="751"/>
      <c r="AG29" s="751"/>
      <c r="AH29" s="751"/>
      <c r="AI29" s="751"/>
      <c r="AJ29" s="751"/>
      <c r="AK29" s="159" t="str">
        <f>IF(請求内容入力シート!$P$20&lt;&gt;"",LEFT(RIGHT("        "&amp;請求内容入力シート!$P$20,8),1),"")</f>
        <v xml:space="preserve"> </v>
      </c>
      <c r="AL29" s="160" t="str">
        <f>IF(請求内容入力シート!$P$20&lt;&gt;"",LEFT(RIGHT("        "&amp;請求内容入力シート!$P$20,7),1),"")</f>
        <v xml:space="preserve"> </v>
      </c>
      <c r="AM29" s="161" t="str">
        <f>IF(請求内容入力シート!$P$20&lt;&gt;"",LEFT(RIGHT("        "&amp;請求内容入力シート!$P$20,6),1),"")</f>
        <v xml:space="preserve"> </v>
      </c>
      <c r="AN29" s="162" t="str">
        <f>IF(請求内容入力シート!$P$20&lt;&gt;"",LEFT(RIGHT("        "&amp;請求内容入力シート!$P$20,5),1),"")</f>
        <v>4</v>
      </c>
      <c r="AO29" s="160" t="str">
        <f>IF(請求内容入力シート!$P$20&lt;&gt;"",LEFT(RIGHT("        "&amp;請求内容入力シート!$P$20,4),1),"")</f>
        <v>0</v>
      </c>
      <c r="AP29" s="161" t="str">
        <f>IF(請求内容入力シート!$P$20&lt;&gt;"",LEFT(RIGHT("        "&amp;請求内容入力シート!$P$20,3),1),"")</f>
        <v>0</v>
      </c>
      <c r="AQ29" s="162" t="str">
        <f>IF(請求内容入力シート!$P$20&lt;&gt;"",LEFT(RIGHT("        "&amp;請求内容入力シート!$P$20,2),1),"")</f>
        <v>0</v>
      </c>
      <c r="AR29" s="163" t="str">
        <f>IF(請求内容入力シート!$P$20&lt;&gt;"",LEFT(RIGHT("        "&amp;請求内容入力シート!$P$20,1),1),"")</f>
        <v>0</v>
      </c>
    </row>
    <row r="30" spans="1:44" s="1" customFormat="1" ht="24.95" customHeight="1" thickBot="1">
      <c r="A30" s="1" t="s">
        <v>3</v>
      </c>
      <c r="B30" s="9"/>
      <c r="C30" s="2" t="s">
        <v>129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0"/>
      <c r="AD30" s="19"/>
      <c r="AE30" s="752" t="s">
        <v>6</v>
      </c>
      <c r="AF30" s="753"/>
      <c r="AG30" s="753"/>
      <c r="AH30" s="753"/>
      <c r="AI30" s="753"/>
      <c r="AJ30" s="753"/>
      <c r="AK30" s="164" t="str">
        <f>IF(請求内容入力シート!$R$20&lt;&gt;"",LEFT(RIGHT("        "&amp;請求内容入力シート!$R$20,8),1),"")</f>
        <v xml:space="preserve"> </v>
      </c>
      <c r="AL30" s="165" t="str">
        <f>IF(請求内容入力シート!$R$20&lt;&gt;"",LEFT(RIGHT("        "&amp;請求内容入力シート!$R$20,7),1),"")</f>
        <v xml:space="preserve"> </v>
      </c>
      <c r="AM30" s="166" t="str">
        <f>IF(請求内容入力シート!$R$20&lt;&gt;"",LEFT(RIGHT("        "&amp;請求内容入力シート!$R$20,6),1),"")</f>
        <v>4</v>
      </c>
      <c r="AN30" s="167" t="str">
        <f>IF(請求内容入力シート!$R$20&lt;&gt;"",LEFT(RIGHT("        "&amp;請求内容入力シート!$R$20,5),1),"")</f>
        <v>4</v>
      </c>
      <c r="AO30" s="165" t="str">
        <f>IF(請求内容入力シート!$R$20&lt;&gt;"",LEFT(RIGHT("        "&amp;請求内容入力シート!$R$20,4),1),"")</f>
        <v>0</v>
      </c>
      <c r="AP30" s="166" t="str">
        <f>IF(請求内容入力シート!$R$20&lt;&gt;"",LEFT(RIGHT("        "&amp;請求内容入力シート!$R$20,3),1),"")</f>
        <v>0</v>
      </c>
      <c r="AQ30" s="167" t="str">
        <f>IF(請求内容入力シート!$R$20&lt;&gt;"",LEFT(RIGHT("        "&amp;請求内容入力シート!$R$20,2),1),"")</f>
        <v>0</v>
      </c>
      <c r="AR30" s="168" t="str">
        <f>IF(請求内容入力シート!$R$20&lt;&gt;"",LEFT(RIGHT("        "&amp;請求内容入力シート!$R$20,1),1),"")</f>
        <v>0</v>
      </c>
    </row>
    <row r="31" spans="1:44" s="1" customFormat="1">
      <c r="B31" s="11"/>
      <c r="AC31" s="12"/>
    </row>
    <row r="32" spans="1:44" s="1" customFormat="1">
      <c r="B32" s="11"/>
      <c r="AC32" s="12"/>
    </row>
    <row r="33" spans="2:44" s="1" customFormat="1">
      <c r="B33" s="11"/>
      <c r="AC33" s="12"/>
    </row>
    <row r="34" spans="2:44" s="1" customFormat="1">
      <c r="B34" s="11"/>
      <c r="AC34" s="12"/>
    </row>
    <row r="35" spans="2:44" s="1" customFormat="1">
      <c r="B35" s="11"/>
      <c r="AC35" s="12"/>
    </row>
    <row r="36" spans="2:44" s="1" customFormat="1">
      <c r="B36" s="11"/>
      <c r="AC36" s="12"/>
    </row>
    <row r="37" spans="2:44" s="1" customFormat="1">
      <c r="B37" s="11"/>
      <c r="AC37" s="12"/>
    </row>
    <row r="38" spans="2:44" s="1" customFormat="1">
      <c r="B38" s="11"/>
      <c r="AC38" s="12"/>
    </row>
    <row r="39" spans="2:44" s="1" customFormat="1">
      <c r="B39" s="11"/>
      <c r="AC39" s="12"/>
    </row>
    <row r="40" spans="2:44" s="1" customFormat="1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5"/>
    </row>
    <row r="41" spans="2:44" s="1" customFormat="1" ht="20.100000000000001" customHeight="1">
      <c r="B41" s="705"/>
      <c r="C41" s="754"/>
      <c r="D41" s="754"/>
      <c r="E41" s="738"/>
      <c r="F41" s="738"/>
      <c r="G41" s="738"/>
      <c r="H41" s="738"/>
      <c r="I41" s="738"/>
      <c r="J41" s="738"/>
      <c r="K41" s="738"/>
      <c r="L41" s="738"/>
      <c r="M41" s="7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2:44" s="1" customFormat="1" ht="24.95" customHeight="1">
      <c r="B42" s="762" t="s">
        <v>12</v>
      </c>
      <c r="C42" s="715"/>
      <c r="D42" s="716"/>
      <c r="E42" s="712" t="str">
        <f>パラメータ!B6</f>
        <v>企業システム開発部 第2開発センター</v>
      </c>
      <c r="F42" s="713"/>
      <c r="G42" s="713"/>
      <c r="H42" s="713"/>
      <c r="I42" s="713"/>
      <c r="J42" s="713"/>
      <c r="K42" s="713"/>
      <c r="L42" s="713"/>
      <c r="M42" s="713"/>
      <c r="N42" s="763"/>
      <c r="O42" s="763"/>
      <c r="P42" s="763"/>
      <c r="Q42" s="763"/>
      <c r="R42" s="764"/>
    </row>
    <row r="43" spans="2:44" s="1" customFormat="1" ht="13.5" customHeight="1">
      <c r="B43" s="765" t="s">
        <v>9</v>
      </c>
      <c r="C43" s="712" t="s">
        <v>125</v>
      </c>
      <c r="D43" s="769"/>
      <c r="E43" s="769"/>
      <c r="F43" s="770"/>
      <c r="G43" s="712" t="s">
        <v>126</v>
      </c>
      <c r="H43" s="769"/>
      <c r="I43" s="769"/>
      <c r="J43" s="770"/>
      <c r="K43" s="712" t="s">
        <v>10</v>
      </c>
      <c r="L43" s="769"/>
      <c r="M43" s="769"/>
      <c r="N43" s="770"/>
      <c r="O43" s="712" t="s">
        <v>11</v>
      </c>
      <c r="P43" s="769"/>
      <c r="Q43" s="769"/>
      <c r="R43" s="770"/>
      <c r="AK43" s="755" t="s">
        <v>30</v>
      </c>
      <c r="AL43" s="755"/>
      <c r="AM43" s="755"/>
      <c r="AN43" s="755"/>
      <c r="AO43" s="755"/>
      <c r="AP43" s="755"/>
    </row>
    <row r="44" spans="2:44" s="1" customFormat="1">
      <c r="B44" s="766"/>
      <c r="C44" s="11"/>
      <c r="F44" s="12"/>
      <c r="G44" s="11"/>
      <c r="J44" s="12"/>
      <c r="K44" s="11"/>
      <c r="N44" s="12"/>
      <c r="R44" s="12"/>
      <c r="AK44" s="756" t="str">
        <f>パラメータ!$B$8&amp;"01"</f>
        <v>C14101</v>
      </c>
      <c r="AL44" s="757"/>
      <c r="AM44" s="757"/>
      <c r="AN44" s="757"/>
      <c r="AO44" s="757"/>
      <c r="AP44" s="758"/>
    </row>
    <row r="45" spans="2:44" s="1" customFormat="1">
      <c r="B45" s="767"/>
      <c r="C45" s="11"/>
      <c r="F45" s="12"/>
      <c r="G45" s="11"/>
      <c r="J45" s="12"/>
      <c r="K45" s="11"/>
      <c r="N45" s="12"/>
      <c r="R45" s="12"/>
      <c r="AK45" s="759"/>
      <c r="AL45" s="760"/>
      <c r="AM45" s="760"/>
      <c r="AN45" s="760"/>
      <c r="AO45" s="760"/>
      <c r="AP45" s="761"/>
    </row>
    <row r="46" spans="2:44" s="1" customFormat="1">
      <c r="B46" s="768"/>
      <c r="C46" s="13"/>
      <c r="D46" s="14"/>
      <c r="E46" s="14"/>
      <c r="F46" s="15"/>
      <c r="G46" s="13"/>
      <c r="H46" s="14"/>
      <c r="I46" s="14"/>
      <c r="J46" s="15"/>
      <c r="K46" s="13"/>
      <c r="L46" s="14"/>
      <c r="M46" s="14"/>
      <c r="N46" s="15"/>
      <c r="O46" s="14"/>
      <c r="P46" s="14"/>
      <c r="Q46" s="14"/>
      <c r="R46" s="15"/>
    </row>
    <row r="47" spans="2:44" s="1" customFormat="1"/>
    <row r="48" spans="2:44" s="1" customFormat="1">
      <c r="AI48" s="680">
        <f>AI1</f>
        <v>46255</v>
      </c>
      <c r="AJ48" s="680"/>
      <c r="AK48" s="680"/>
      <c r="AL48" s="680"/>
      <c r="AM48" s="680"/>
      <c r="AN48" s="680"/>
      <c r="AO48" s="681" t="s">
        <v>191</v>
      </c>
      <c r="AP48" s="681"/>
      <c r="AQ48" s="681"/>
      <c r="AR48" s="287"/>
    </row>
    <row r="49" spans="2:44" s="1" customFormat="1">
      <c r="AI49" s="680"/>
      <c r="AJ49" s="680"/>
      <c r="AK49" s="680"/>
      <c r="AL49" s="680"/>
      <c r="AM49" s="680"/>
      <c r="AN49" s="680"/>
      <c r="AO49" s="681"/>
      <c r="AP49" s="681"/>
      <c r="AQ49" s="681"/>
      <c r="AR49" s="287"/>
    </row>
    <row r="50" spans="2:44" s="1" customFormat="1" ht="13.5" customHeight="1">
      <c r="B50" s="682" t="s">
        <v>252</v>
      </c>
      <c r="C50" s="682"/>
      <c r="D50" s="682"/>
      <c r="E50" s="682"/>
      <c r="F50" s="682"/>
      <c r="G50" s="682"/>
      <c r="H50" s="682"/>
      <c r="I50" s="682"/>
      <c r="J50" s="682"/>
      <c r="K50" s="682"/>
      <c r="L50" s="682"/>
      <c r="M50" s="682"/>
      <c r="N50" s="682"/>
      <c r="O50" s="682"/>
      <c r="P50" s="682"/>
      <c r="Q50" s="682"/>
      <c r="R50" s="682"/>
      <c r="S50" s="682"/>
      <c r="T50" s="682"/>
      <c r="U50" s="682"/>
      <c r="V50" s="682"/>
      <c r="W50" s="682"/>
      <c r="X50" s="682"/>
      <c r="Y50" s="682"/>
      <c r="Z50" s="682"/>
      <c r="AA50" s="682"/>
      <c r="AB50" s="682"/>
      <c r="AC50" s="682"/>
      <c r="AD50" s="682"/>
      <c r="AE50" s="682"/>
      <c r="AF50" s="682"/>
      <c r="AG50" s="682"/>
      <c r="AH50" s="682"/>
      <c r="AI50" s="682"/>
      <c r="AJ50" s="682"/>
      <c r="AK50" s="682"/>
      <c r="AL50" s="682"/>
      <c r="AM50" s="682"/>
      <c r="AN50" s="682"/>
      <c r="AO50" s="682"/>
      <c r="AP50" s="682"/>
      <c r="AQ50" s="682"/>
      <c r="AR50" s="682"/>
    </row>
    <row r="51" spans="2:44" s="1" customFormat="1" ht="13.5" customHeight="1">
      <c r="B51" s="682"/>
      <c r="C51" s="682"/>
      <c r="D51" s="682"/>
      <c r="E51" s="682"/>
      <c r="F51" s="682"/>
      <c r="G51" s="682"/>
      <c r="H51" s="682"/>
      <c r="I51" s="682"/>
      <c r="J51" s="682"/>
      <c r="K51" s="682"/>
      <c r="L51" s="682"/>
      <c r="M51" s="682"/>
      <c r="N51" s="682"/>
      <c r="O51" s="682"/>
      <c r="P51" s="682"/>
      <c r="Q51" s="682"/>
      <c r="R51" s="682"/>
      <c r="S51" s="682"/>
      <c r="T51" s="682"/>
      <c r="U51" s="682"/>
      <c r="V51" s="682"/>
      <c r="W51" s="682"/>
      <c r="X51" s="682"/>
      <c r="Y51" s="682"/>
      <c r="Z51" s="682"/>
      <c r="AA51" s="682"/>
      <c r="AB51" s="682"/>
      <c r="AC51" s="682"/>
      <c r="AD51" s="682"/>
      <c r="AE51" s="682"/>
      <c r="AF51" s="682"/>
      <c r="AG51" s="682"/>
      <c r="AH51" s="682"/>
      <c r="AI51" s="682"/>
      <c r="AJ51" s="682"/>
      <c r="AK51" s="682"/>
      <c r="AL51" s="682"/>
      <c r="AM51" s="682"/>
      <c r="AN51" s="682"/>
      <c r="AO51" s="682"/>
      <c r="AP51" s="682"/>
      <c r="AQ51" s="682"/>
      <c r="AR51" s="682"/>
    </row>
  </sheetData>
  <mergeCells count="69">
    <mergeCell ref="AK43:AP43"/>
    <mergeCell ref="AK44:AP45"/>
    <mergeCell ref="B42:D42"/>
    <mergeCell ref="E42:R42"/>
    <mergeCell ref="B43:B46"/>
    <mergeCell ref="C43:F43"/>
    <mergeCell ref="G43:J43"/>
    <mergeCell ref="K43:N43"/>
    <mergeCell ref="O43:R43"/>
    <mergeCell ref="E41:M41"/>
    <mergeCell ref="B26:B27"/>
    <mergeCell ref="C26:F27"/>
    <mergeCell ref="G27:Q27"/>
    <mergeCell ref="R27:AJ27"/>
    <mergeCell ref="R26:AJ26"/>
    <mergeCell ref="AE28:AJ28"/>
    <mergeCell ref="B29:F29"/>
    <mergeCell ref="AE29:AJ29"/>
    <mergeCell ref="AE30:AJ30"/>
    <mergeCell ref="B41:D41"/>
    <mergeCell ref="AI1:AN2"/>
    <mergeCell ref="AK12:AR13"/>
    <mergeCell ref="AO1:AQ2"/>
    <mergeCell ref="C24:F25"/>
    <mergeCell ref="G25:Q25"/>
    <mergeCell ref="R25:AJ25"/>
    <mergeCell ref="C18:F19"/>
    <mergeCell ref="G19:Q19"/>
    <mergeCell ref="R19:AJ19"/>
    <mergeCell ref="C20:F21"/>
    <mergeCell ref="G21:Q21"/>
    <mergeCell ref="C22:F23"/>
    <mergeCell ref="G23:Q23"/>
    <mergeCell ref="R23:AJ23"/>
    <mergeCell ref="R21:AJ21"/>
    <mergeCell ref="G13:Q13"/>
    <mergeCell ref="R13:AJ13"/>
    <mergeCell ref="B3:AR4"/>
    <mergeCell ref="B5:H5"/>
    <mergeCell ref="AG5:AJ5"/>
    <mergeCell ref="AG6:AJ6"/>
    <mergeCell ref="AK6:AR6"/>
    <mergeCell ref="R12:AJ12"/>
    <mergeCell ref="AG7:AJ8"/>
    <mergeCell ref="AK7:AR8"/>
    <mergeCell ref="B12:B13"/>
    <mergeCell ref="C12:F13"/>
    <mergeCell ref="G12:Q12"/>
    <mergeCell ref="B14:B15"/>
    <mergeCell ref="C14:F15"/>
    <mergeCell ref="R14:AJ14"/>
    <mergeCell ref="G15:Q15"/>
    <mergeCell ref="R15:AJ15"/>
    <mergeCell ref="AI48:AN49"/>
    <mergeCell ref="AO48:AQ49"/>
    <mergeCell ref="B50:AR51"/>
    <mergeCell ref="B16:B17"/>
    <mergeCell ref="C16:F17"/>
    <mergeCell ref="G17:Q17"/>
    <mergeCell ref="R17:AJ17"/>
    <mergeCell ref="R16:AJ16"/>
    <mergeCell ref="R18:AJ18"/>
    <mergeCell ref="R20:AJ20"/>
    <mergeCell ref="R22:AJ22"/>
    <mergeCell ref="R24:AJ24"/>
    <mergeCell ref="B18:B19"/>
    <mergeCell ref="B20:B21"/>
    <mergeCell ref="B22:B23"/>
    <mergeCell ref="B24:B25"/>
  </mergeCells>
  <phoneticPr fontId="2"/>
  <printOptions horizontalCentered="1"/>
  <pageMargins left="0.39370078740157483" right="0.19685039370078741" top="0.39370078740157483" bottom="0.39370078740157483" header="0.39370078740157483" footer="0.39370078740157483"/>
  <pageSetup paperSize="9" scale="97" fitToHeight="0" orientation="portrait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AR51"/>
  <sheetViews>
    <sheetView zoomScaleNormal="100" workbookViewId="0">
      <selection activeCell="G15" sqref="G15:Q15"/>
    </sheetView>
  </sheetViews>
  <sheetFormatPr defaultColWidth="2.25" defaultRowHeight="13.5"/>
  <cols>
    <col min="1" max="2" width="2.25" style="1" customWidth="1"/>
    <col min="3" max="36" width="2.25" style="1"/>
    <col min="37" max="44" width="2.625" style="1" customWidth="1"/>
    <col min="45" max="16384" width="2.25" style="1"/>
  </cols>
  <sheetData>
    <row r="1" spans="2:44">
      <c r="AI1" s="680">
        <f>請求内容入力シート!B2</f>
        <v>46255</v>
      </c>
      <c r="AJ1" s="680"/>
      <c r="AK1" s="680"/>
      <c r="AL1" s="680"/>
      <c r="AM1" s="680"/>
      <c r="AN1" s="680"/>
      <c r="AO1" s="681" t="s">
        <v>191</v>
      </c>
      <c r="AP1" s="681"/>
      <c r="AQ1" s="681"/>
      <c r="AR1" s="287"/>
    </row>
    <row r="2" spans="2:44">
      <c r="AI2" s="680"/>
      <c r="AJ2" s="680"/>
      <c r="AK2" s="680"/>
      <c r="AL2" s="680"/>
      <c r="AM2" s="680"/>
      <c r="AN2" s="680"/>
      <c r="AO2" s="681"/>
      <c r="AP2" s="681"/>
      <c r="AQ2" s="681"/>
      <c r="AR2" s="287"/>
    </row>
    <row r="3" spans="2:44" ht="13.5" customHeight="1">
      <c r="B3" s="682" t="s">
        <v>138</v>
      </c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  <c r="AQ3" s="682"/>
      <c r="AR3" s="682"/>
    </row>
    <row r="4" spans="2:44" ht="13.5" customHeight="1"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  <c r="AQ4" s="682"/>
      <c r="AR4" s="682"/>
    </row>
    <row r="5" spans="2:44" ht="24.95" customHeight="1">
      <c r="B5" s="712" t="s">
        <v>130</v>
      </c>
      <c r="C5" s="713"/>
      <c r="D5" s="713"/>
      <c r="E5" s="713"/>
      <c r="F5" s="713"/>
      <c r="G5" s="713"/>
      <c r="H5" s="714"/>
      <c r="AG5" s="712" t="s">
        <v>1</v>
      </c>
      <c r="AH5" s="715"/>
      <c r="AI5" s="715"/>
      <c r="AJ5" s="716"/>
      <c r="AK5" s="130" t="str">
        <f>LEFT(パラメータ!B5,1)</f>
        <v>A</v>
      </c>
      <c r="AL5" s="131" t="str">
        <f>MID(パラメータ!B5,2,1)</f>
        <v>9</v>
      </c>
      <c r="AM5" s="131" t="str">
        <f>MID(パラメータ!B5,3,1)</f>
        <v>7</v>
      </c>
      <c r="AN5" s="131" t="str">
        <f>MID(パラメータ!B5,4,1)</f>
        <v>1</v>
      </c>
      <c r="AO5" s="131" t="str">
        <f>MID(パラメータ!B5,5,1)</f>
        <v>2</v>
      </c>
      <c r="AP5" s="132" t="str">
        <f>MID(パラメータ!B5,6,1)</f>
        <v>2</v>
      </c>
    </row>
    <row r="6" spans="2:44" ht="24.95" customHeight="1">
      <c r="B6" s="2"/>
      <c r="C6" s="2"/>
      <c r="D6" s="2"/>
      <c r="E6" s="2"/>
      <c r="F6" s="2"/>
      <c r="G6" s="2"/>
      <c r="H6" s="2"/>
      <c r="AG6" s="712" t="s">
        <v>18</v>
      </c>
      <c r="AH6" s="715"/>
      <c r="AI6" s="715"/>
      <c r="AJ6" s="716"/>
      <c r="AK6" s="717" t="str">
        <f>パラメータ!B3</f>
        <v>株式会社VTIジャパン</v>
      </c>
      <c r="AL6" s="718"/>
      <c r="AM6" s="718"/>
      <c r="AN6" s="718"/>
      <c r="AO6" s="718"/>
      <c r="AP6" s="718"/>
      <c r="AQ6" s="718"/>
      <c r="AR6" s="719"/>
    </row>
    <row r="7" spans="2:44" ht="13.5" customHeight="1">
      <c r="AG7" s="722" t="s">
        <v>19</v>
      </c>
      <c r="AH7" s="686"/>
      <c r="AI7" s="686"/>
      <c r="AJ7" s="687"/>
      <c r="AK7" s="722" t="str">
        <f>パラメータ!B4</f>
        <v>グエン ホン ソン</v>
      </c>
      <c r="AL7" s="686"/>
      <c r="AM7" s="686"/>
      <c r="AN7" s="686"/>
      <c r="AO7" s="686"/>
      <c r="AP7" s="686"/>
      <c r="AQ7" s="686"/>
      <c r="AR7" s="687"/>
    </row>
    <row r="8" spans="2:44" ht="13.5" customHeight="1">
      <c r="AG8" s="723"/>
      <c r="AH8" s="689"/>
      <c r="AI8" s="689"/>
      <c r="AJ8" s="690"/>
      <c r="AK8" s="723"/>
      <c r="AL8" s="689"/>
      <c r="AM8" s="689"/>
      <c r="AN8" s="689"/>
      <c r="AO8" s="689"/>
      <c r="AP8" s="689"/>
      <c r="AQ8" s="689"/>
      <c r="AR8" s="690"/>
    </row>
    <row r="9" spans="2:44">
      <c r="AG9" s="3"/>
      <c r="AH9" s="3"/>
      <c r="AI9" s="3"/>
      <c r="AJ9" s="3"/>
    </row>
    <row r="10" spans="2:44">
      <c r="AG10" s="3"/>
      <c r="AH10" s="3"/>
      <c r="AI10" s="3"/>
      <c r="AJ10" s="3"/>
    </row>
    <row r="11" spans="2:44" ht="14.25" thickBot="1">
      <c r="AG11" s="3"/>
      <c r="AH11" s="3"/>
      <c r="AI11" s="3"/>
      <c r="AJ11" s="3"/>
    </row>
    <row r="12" spans="2:44" s="4" customFormat="1" ht="11.25">
      <c r="B12" s="724" t="s">
        <v>28</v>
      </c>
      <c r="C12" s="726" t="s">
        <v>14</v>
      </c>
      <c r="D12" s="727"/>
      <c r="E12" s="727"/>
      <c r="F12" s="728"/>
      <c r="G12" s="720" t="s">
        <v>27</v>
      </c>
      <c r="H12" s="721"/>
      <c r="I12" s="721"/>
      <c r="J12" s="721"/>
      <c r="K12" s="721"/>
      <c r="L12" s="721"/>
      <c r="M12" s="721"/>
      <c r="N12" s="721"/>
      <c r="O12" s="721"/>
      <c r="P12" s="721"/>
      <c r="Q12" s="732"/>
      <c r="R12" s="720" t="s">
        <v>16</v>
      </c>
      <c r="S12" s="721"/>
      <c r="T12" s="721"/>
      <c r="U12" s="721"/>
      <c r="V12" s="721"/>
      <c r="W12" s="721"/>
      <c r="X12" s="721"/>
      <c r="Y12" s="721"/>
      <c r="Z12" s="721"/>
      <c r="AA12" s="721"/>
      <c r="AB12" s="721"/>
      <c r="AC12" s="721"/>
      <c r="AD12" s="721"/>
      <c r="AE12" s="721"/>
      <c r="AF12" s="721"/>
      <c r="AG12" s="721"/>
      <c r="AH12" s="721"/>
      <c r="AI12" s="721"/>
      <c r="AJ12" s="721"/>
      <c r="AK12" s="726" t="s">
        <v>2</v>
      </c>
      <c r="AL12" s="721"/>
      <c r="AM12" s="721"/>
      <c r="AN12" s="721"/>
      <c r="AO12" s="721"/>
      <c r="AP12" s="721"/>
      <c r="AQ12" s="721"/>
      <c r="AR12" s="733"/>
    </row>
    <row r="13" spans="2:44" s="4" customFormat="1" ht="12" thickBot="1">
      <c r="B13" s="725"/>
      <c r="C13" s="729"/>
      <c r="D13" s="730"/>
      <c r="E13" s="730"/>
      <c r="F13" s="731"/>
      <c r="G13" s="709" t="s">
        <v>15</v>
      </c>
      <c r="H13" s="710"/>
      <c r="I13" s="710"/>
      <c r="J13" s="710"/>
      <c r="K13" s="710"/>
      <c r="L13" s="710"/>
      <c r="M13" s="710"/>
      <c r="N13" s="710"/>
      <c r="O13" s="710"/>
      <c r="P13" s="710"/>
      <c r="Q13" s="737"/>
      <c r="R13" s="709" t="s">
        <v>17</v>
      </c>
      <c r="S13" s="710"/>
      <c r="T13" s="710"/>
      <c r="U13" s="710"/>
      <c r="V13" s="710"/>
      <c r="W13" s="710"/>
      <c r="X13" s="710"/>
      <c r="Y13" s="710"/>
      <c r="Z13" s="710"/>
      <c r="AA13" s="710"/>
      <c r="AB13" s="710"/>
      <c r="AC13" s="710"/>
      <c r="AD13" s="710"/>
      <c r="AE13" s="710"/>
      <c r="AF13" s="710"/>
      <c r="AG13" s="710"/>
      <c r="AH13" s="710"/>
      <c r="AI13" s="710"/>
      <c r="AJ13" s="711"/>
      <c r="AK13" s="734"/>
      <c r="AL13" s="735"/>
      <c r="AM13" s="735"/>
      <c r="AN13" s="735"/>
      <c r="AO13" s="735"/>
      <c r="AP13" s="735"/>
      <c r="AQ13" s="735"/>
      <c r="AR13" s="736"/>
    </row>
    <row r="14" spans="2:44" ht="24.95" customHeight="1">
      <c r="B14" s="700">
        <v>1</v>
      </c>
      <c r="C14" s="701" t="str">
        <f>IF(G14&lt;&gt;"",パラメータ!$B$7,"")</f>
        <v/>
      </c>
      <c r="D14" s="702"/>
      <c r="E14" s="702"/>
      <c r="F14" s="703"/>
      <c r="G14" s="133" t="str">
        <f>IF(請求内容入力シート!$C$18&lt;&gt;"",LEFT(RIGHT("0000000000"&amp;請求内容入力シート!$C$18,10),1),"")</f>
        <v/>
      </c>
      <c r="H14" s="134" t="str">
        <f>IF(請求内容入力シート!$C$18&lt;&gt;"",LEFT(RIGHT("0000000000"&amp;請求内容入力シート!$C$18,9),1),"")</f>
        <v/>
      </c>
      <c r="I14" s="134" t="str">
        <f>IF(請求内容入力シート!$C$18&lt;&gt;"",LEFT(RIGHT("0000000000"&amp;請求内容入力シート!$C$18,8),1),"")</f>
        <v/>
      </c>
      <c r="J14" s="135" t="str">
        <f>IF(請求内容入力シート!$C$18&lt;&gt;"",LEFT(RIGHT("0000000000"&amp;請求内容入力シート!$C$18,7),1),"")</f>
        <v/>
      </c>
      <c r="K14" s="128" t="s">
        <v>117</v>
      </c>
      <c r="L14" s="133" t="str">
        <f>IF(請求内容入力シート!$C$18&lt;&gt;"",LEFT(RIGHT("0000000000"&amp;請求内容入力シート!$C$18,6),1),"")</f>
        <v/>
      </c>
      <c r="M14" s="134" t="str">
        <f>IF(請求内容入力シート!$C$18&lt;&gt;"",LEFT(RIGHT("0000000000"&amp;請求内容入力シート!$C$18,5),1),"")</f>
        <v/>
      </c>
      <c r="N14" s="134" t="str">
        <f>IF(請求内容入力シート!$C$18&lt;&gt;"",LEFT(RIGHT("0000000000"&amp;請求内容入力シート!$C$18,4),1),"")</f>
        <v/>
      </c>
      <c r="O14" s="134" t="str">
        <f>IF(請求内容入力シート!$C$18&lt;&gt;"",LEFT(RIGHT("0000000000"&amp;請求内容入力シート!$C$18,3),1),"")</f>
        <v/>
      </c>
      <c r="P14" s="134" t="str">
        <f>IF(請求内容入力シート!$C$18&lt;&gt;"",LEFT(RIGHT("0000000000"&amp;請求内容入力シート!$C$18,2),1),"")</f>
        <v/>
      </c>
      <c r="Q14" s="135" t="str">
        <f>IF(請求内容入力シート!$C$18&lt;&gt;"",LEFT(RIGHT("0000000000"&amp;請求内容入力シート!$C$18,1),1),"")</f>
        <v/>
      </c>
      <c r="R14" s="777" t="str">
        <f>IF(請求内容入力シート!$D$18&lt;&gt;"",請求内容入力シート!$D$18,"")</f>
        <v/>
      </c>
      <c r="S14" s="778"/>
      <c r="T14" s="778"/>
      <c r="U14" s="778"/>
      <c r="V14" s="778"/>
      <c r="W14" s="778"/>
      <c r="X14" s="778"/>
      <c r="Y14" s="778"/>
      <c r="Z14" s="778"/>
      <c r="AA14" s="778"/>
      <c r="AB14" s="778"/>
      <c r="AC14" s="778"/>
      <c r="AD14" s="778"/>
      <c r="AE14" s="778"/>
      <c r="AF14" s="778"/>
      <c r="AG14" s="778"/>
      <c r="AH14" s="778"/>
      <c r="AI14" s="778"/>
      <c r="AJ14" s="778"/>
      <c r="AK14" s="139"/>
      <c r="AL14" s="140"/>
      <c r="AM14" s="141"/>
      <c r="AN14" s="142"/>
      <c r="AO14" s="140"/>
      <c r="AP14" s="141"/>
      <c r="AQ14" s="142"/>
      <c r="AR14" s="143"/>
    </row>
    <row r="15" spans="2:44" ht="24.95" customHeight="1">
      <c r="B15" s="684"/>
      <c r="C15" s="688"/>
      <c r="D15" s="689"/>
      <c r="E15" s="689"/>
      <c r="F15" s="690"/>
      <c r="G15" s="691" t="str">
        <f>IF(請求内容入力シート!$I$18&lt;&gt;"",請求内容入力シート!$I$18,"")</f>
        <v>409</v>
      </c>
      <c r="H15" s="692"/>
      <c r="I15" s="692"/>
      <c r="J15" s="692"/>
      <c r="K15" s="692"/>
      <c r="L15" s="692"/>
      <c r="M15" s="692"/>
      <c r="N15" s="692"/>
      <c r="O15" s="692"/>
      <c r="P15" s="692"/>
      <c r="Q15" s="693"/>
      <c r="R15" s="694" t="str">
        <f>IF(請求内容入力シート!$E$18&lt;&gt;"",請求内容入力シート!$E$18,"")</f>
        <v/>
      </c>
      <c r="S15" s="695"/>
      <c r="T15" s="695"/>
      <c r="U15" s="695"/>
      <c r="V15" s="695"/>
      <c r="W15" s="695"/>
      <c r="X15" s="695"/>
      <c r="Y15" s="695"/>
      <c r="Z15" s="695"/>
      <c r="AA15" s="695"/>
      <c r="AB15" s="695"/>
      <c r="AC15" s="695"/>
      <c r="AD15" s="695"/>
      <c r="AE15" s="695"/>
      <c r="AF15" s="695"/>
      <c r="AG15" s="695"/>
      <c r="AH15" s="695"/>
      <c r="AI15" s="695"/>
      <c r="AJ15" s="696"/>
      <c r="AK15" s="144" t="str">
        <f>IF(請求内容入力シート!$F$18&lt;&gt;"",LEFT(RIGHT("        "&amp;請求内容入力シート!$F$18,8),1),"")</f>
        <v/>
      </c>
      <c r="AL15" s="145" t="str">
        <f>IF(請求内容入力シート!$F$18&lt;&gt;"",LEFT(RIGHT("        "&amp;請求内容入力シート!$F$18,7),1),"")</f>
        <v/>
      </c>
      <c r="AM15" s="146" t="str">
        <f>IF(請求内容入力シート!$F$18&lt;&gt;"",LEFT(RIGHT("        "&amp;請求内容入力シート!$F$18,6),1),"")</f>
        <v/>
      </c>
      <c r="AN15" s="147" t="str">
        <f>IF(請求内容入力シート!$F$18&lt;&gt;"",LEFT(RIGHT("        "&amp;請求内容入力シート!$F$18,5),1),"")</f>
        <v/>
      </c>
      <c r="AO15" s="145" t="str">
        <f>IF(請求内容入力シート!$F$18&lt;&gt;"",LEFT(RIGHT("        "&amp;請求内容入力シート!$F$18,4),1),"")</f>
        <v/>
      </c>
      <c r="AP15" s="146" t="str">
        <f>IF(請求内容入力シート!$F$18&lt;&gt;"",LEFT(RIGHT("        "&amp;請求内容入力シート!$F$18,3),1),"")</f>
        <v/>
      </c>
      <c r="AQ15" s="147" t="str">
        <f>IF(請求内容入力シート!$F$18&lt;&gt;"",LEFT(RIGHT("        "&amp;請求内容入力シート!$F$18,2),1),"")</f>
        <v/>
      </c>
      <c r="AR15" s="148" t="str">
        <f>IF(請求内容入力シート!$F$18&lt;&gt;"",LEFT(RIGHT("        "&amp;請求内容入力シート!$F$18,1),1),"")</f>
        <v/>
      </c>
    </row>
    <row r="16" spans="2:44" ht="24.95" customHeight="1">
      <c r="B16" s="683">
        <v>2</v>
      </c>
      <c r="C16" s="685" t="str">
        <f>IF(G16&lt;&gt;"",パラメータ!$B$7,"")</f>
        <v/>
      </c>
      <c r="D16" s="686"/>
      <c r="E16" s="686"/>
      <c r="F16" s="687"/>
      <c r="G16" s="136" t="str">
        <f>IF(請求内容入力シート!$C$19&lt;&gt;"",LEFT(RIGHT("0000000000"&amp;請求内容入力シート!$C$19,10),1),"")</f>
        <v/>
      </c>
      <c r="H16" s="137" t="str">
        <f>IF(請求内容入力シート!$C$19&lt;&gt;"",LEFT(RIGHT("0000000000"&amp;請求内容入力シート!$C$19,9),1),"")</f>
        <v/>
      </c>
      <c r="I16" s="137" t="str">
        <f>IF(請求内容入力シート!$C$19&lt;&gt;"",LEFT(RIGHT("0000000000"&amp;請求内容入力シート!$C$19,8),1),"")</f>
        <v/>
      </c>
      <c r="J16" s="138" t="str">
        <f>IF(請求内容入力シート!$C$19&lt;&gt;"",LEFT(RIGHT("0000000000"&amp;請求内容入力シート!$C$19,7),1),"")</f>
        <v/>
      </c>
      <c r="K16" s="127" t="s">
        <v>117</v>
      </c>
      <c r="L16" s="136" t="str">
        <f>IF(請求内容入力シート!$C$19&lt;&gt;"",LEFT(RIGHT("0000000000"&amp;請求内容入力シート!$C$19,6),1),"")</f>
        <v/>
      </c>
      <c r="M16" s="137" t="str">
        <f>IF(請求内容入力シート!$C$19&lt;&gt;"",LEFT(RIGHT("0000000000"&amp;請求内容入力シート!$C$19,5),1),"")</f>
        <v/>
      </c>
      <c r="N16" s="137" t="str">
        <f>IF(請求内容入力シート!$C$19&lt;&gt;"",LEFT(RIGHT("0000000000"&amp;請求内容入力シート!$C$19,4),1),"")</f>
        <v/>
      </c>
      <c r="O16" s="137" t="str">
        <f>IF(請求内容入力シート!$C$19&lt;&gt;"",LEFT(RIGHT("0000000000"&amp;請求内容入力シート!$C$19,3),1),"")</f>
        <v/>
      </c>
      <c r="P16" s="137" t="str">
        <f>IF(請求内容入力シート!$C$19&lt;&gt;"",LEFT(RIGHT("0000000000"&amp;請求内容入力シート!$C$19,2),1),"")</f>
        <v/>
      </c>
      <c r="Q16" s="138" t="str">
        <f>IF(請求内容入力シート!$C$19&lt;&gt;"",LEFT(RIGHT("0000000000"&amp;請求内容入力シート!$C$19,1),1),"")</f>
        <v/>
      </c>
      <c r="R16" s="697" t="str">
        <f>IF(請求内容入力シート!$D$19&lt;&gt;"",請求内容入力シート!$D$19,"")</f>
        <v/>
      </c>
      <c r="S16" s="698"/>
      <c r="T16" s="698"/>
      <c r="U16" s="698"/>
      <c r="V16" s="698"/>
      <c r="W16" s="698"/>
      <c r="X16" s="698"/>
      <c r="Y16" s="698"/>
      <c r="Z16" s="698"/>
      <c r="AA16" s="698"/>
      <c r="AB16" s="698"/>
      <c r="AC16" s="698"/>
      <c r="AD16" s="698"/>
      <c r="AE16" s="698"/>
      <c r="AF16" s="698"/>
      <c r="AG16" s="698"/>
      <c r="AH16" s="698"/>
      <c r="AI16" s="698"/>
      <c r="AJ16" s="699"/>
      <c r="AK16" s="149"/>
      <c r="AL16" s="150"/>
      <c r="AM16" s="151"/>
      <c r="AN16" s="152"/>
      <c r="AO16" s="150"/>
      <c r="AP16" s="151"/>
      <c r="AQ16" s="152"/>
      <c r="AR16" s="153"/>
    </row>
    <row r="17" spans="1:44" ht="24.95" customHeight="1">
      <c r="B17" s="684"/>
      <c r="C17" s="688"/>
      <c r="D17" s="689"/>
      <c r="E17" s="689"/>
      <c r="F17" s="690"/>
      <c r="G17" s="691" t="str">
        <f>IF(請求内容入力シート!$I$19&lt;&gt;"",請求内容入力シート!$I$19,"")</f>
        <v/>
      </c>
      <c r="H17" s="692"/>
      <c r="I17" s="692"/>
      <c r="J17" s="692"/>
      <c r="K17" s="692"/>
      <c r="L17" s="692"/>
      <c r="M17" s="692"/>
      <c r="N17" s="692"/>
      <c r="O17" s="692"/>
      <c r="P17" s="692"/>
      <c r="Q17" s="693"/>
      <c r="R17" s="771" t="str">
        <f>IF(請求内容入力シート!$E$19&lt;&gt;"",請求内容入力シート!$E$19,"")</f>
        <v/>
      </c>
      <c r="S17" s="772"/>
      <c r="T17" s="772"/>
      <c r="U17" s="772"/>
      <c r="V17" s="772"/>
      <c r="W17" s="772"/>
      <c r="X17" s="772"/>
      <c r="Y17" s="772"/>
      <c r="Z17" s="772"/>
      <c r="AA17" s="772"/>
      <c r="AB17" s="772"/>
      <c r="AC17" s="772"/>
      <c r="AD17" s="772"/>
      <c r="AE17" s="772"/>
      <c r="AF17" s="772"/>
      <c r="AG17" s="772"/>
      <c r="AH17" s="772"/>
      <c r="AI17" s="772"/>
      <c r="AJ17" s="773"/>
      <c r="AK17" s="144" t="str">
        <f>IF(請求内容入力シート!$F$19&lt;&gt;"",LEFT(RIGHT("        "&amp;請求内容入力シート!$F$19,8),1),"")</f>
        <v/>
      </c>
      <c r="AL17" s="145" t="str">
        <f>IF(請求内容入力シート!$F$19&lt;&gt;"",LEFT(RIGHT("        "&amp;請求内容入力シート!$F$19,7),1),"")</f>
        <v/>
      </c>
      <c r="AM17" s="146" t="str">
        <f>IF(請求内容入力シート!$F$19&lt;&gt;"",LEFT(RIGHT("        "&amp;請求内容入力シート!$F$19,6),1),"")</f>
        <v/>
      </c>
      <c r="AN17" s="147" t="str">
        <f>IF(請求内容入力シート!$F$19&lt;&gt;"",LEFT(RIGHT("        "&amp;請求内容入力シート!$F$19,5),1),"")</f>
        <v/>
      </c>
      <c r="AO17" s="145" t="str">
        <f>IF(請求内容入力シート!$F$19&lt;&gt;"",LEFT(RIGHT("        "&amp;請求内容入力シート!$F$19,4),1),"")</f>
        <v/>
      </c>
      <c r="AP17" s="146" t="str">
        <f>IF(請求内容入力シート!$F$19&lt;&gt;"",LEFT(RIGHT("        "&amp;請求内容入力シート!$F$19,3),1),"")</f>
        <v/>
      </c>
      <c r="AQ17" s="147" t="str">
        <f>IF(請求内容入力シート!$F$19&lt;&gt;"",LEFT(RIGHT("        "&amp;請求内容入力シート!$F$19,2),1),"")</f>
        <v/>
      </c>
      <c r="AR17" s="148" t="str">
        <f>IF(請求内容入力シート!$F$19&lt;&gt;"",LEFT(RIGHT("        "&amp;請求内容入力シート!$F$19,1),1),"")</f>
        <v/>
      </c>
    </row>
    <row r="18" spans="1:44" ht="24.95" customHeight="1">
      <c r="B18" s="683">
        <v>3</v>
      </c>
      <c r="C18" s="685" t="str">
        <f>IF(G18&lt;&gt;"",パラメータ!$B$7,"")</f>
        <v/>
      </c>
      <c r="D18" s="686"/>
      <c r="E18" s="686"/>
      <c r="F18" s="687"/>
      <c r="G18" s="136" t="str">
        <f>IF(請求内容入力シート!$C$20&lt;&gt;"",LEFT(RIGHT("0000000000"&amp;請求内容入力シート!$C$20,10),1),"")</f>
        <v/>
      </c>
      <c r="H18" s="137" t="str">
        <f>IF(請求内容入力シート!$C$20&lt;&gt;"",LEFT(RIGHT("0000000000"&amp;請求内容入力シート!$C$20,9),1),"")</f>
        <v/>
      </c>
      <c r="I18" s="137" t="str">
        <f>IF(請求内容入力シート!$C$20&lt;&gt;"",LEFT(RIGHT("0000000000"&amp;請求内容入力シート!$C$20,8),1),"")</f>
        <v/>
      </c>
      <c r="J18" s="138" t="str">
        <f>IF(請求内容入力シート!$C$20&lt;&gt;"",LEFT(RIGHT("0000000000"&amp;請求内容入力シート!$C$20,7),1),"")</f>
        <v/>
      </c>
      <c r="K18" s="127" t="s">
        <v>117</v>
      </c>
      <c r="L18" s="136" t="str">
        <f>IF(請求内容入力シート!$C$20&lt;&gt;"",LEFT(RIGHT("0000000000"&amp;請求内容入力シート!$C$20,6),1),"")</f>
        <v/>
      </c>
      <c r="M18" s="137" t="str">
        <f>IF(請求内容入力シート!$C$20&lt;&gt;"",LEFT(RIGHT("0000000000"&amp;請求内容入力シート!$C$20,5),1),"")</f>
        <v/>
      </c>
      <c r="N18" s="137" t="str">
        <f>IF(請求内容入力シート!$C$20&lt;&gt;"",LEFT(RIGHT("0000000000"&amp;請求内容入力シート!$C$20,4),1),"")</f>
        <v/>
      </c>
      <c r="O18" s="137" t="str">
        <f>IF(請求内容入力シート!$C$20&lt;&gt;"",LEFT(RIGHT("0000000000"&amp;請求内容入力シート!$C$20,3),1),"")</f>
        <v/>
      </c>
      <c r="P18" s="137" t="str">
        <f>IF(請求内容入力シート!$C$20&lt;&gt;"",LEFT(RIGHT("0000000000"&amp;請求内容入力シート!$C$20,2),1),"")</f>
        <v/>
      </c>
      <c r="Q18" s="138" t="str">
        <f>IF(請求内容入力シート!$C$20&lt;&gt;"",LEFT(RIGHT("0000000000"&amp;請求内容入力シート!$C$20,1),1),"")</f>
        <v/>
      </c>
      <c r="R18" s="697" t="str">
        <f>IF(請求内容入力シート!$D$20&lt;&gt;"",請求内容入力シート!$D$20,"")</f>
        <v/>
      </c>
      <c r="S18" s="698"/>
      <c r="T18" s="698"/>
      <c r="U18" s="698"/>
      <c r="V18" s="698"/>
      <c r="W18" s="698"/>
      <c r="X18" s="698"/>
      <c r="Y18" s="698"/>
      <c r="Z18" s="698"/>
      <c r="AA18" s="698"/>
      <c r="AB18" s="698"/>
      <c r="AC18" s="698"/>
      <c r="AD18" s="698"/>
      <c r="AE18" s="698"/>
      <c r="AF18" s="698"/>
      <c r="AG18" s="698"/>
      <c r="AH18" s="698"/>
      <c r="AI18" s="698"/>
      <c r="AJ18" s="699"/>
      <c r="AK18" s="149"/>
      <c r="AL18" s="150"/>
      <c r="AM18" s="151"/>
      <c r="AN18" s="152"/>
      <c r="AO18" s="150"/>
      <c r="AP18" s="151"/>
      <c r="AQ18" s="152"/>
      <c r="AR18" s="153"/>
    </row>
    <row r="19" spans="1:44" ht="24.95" customHeight="1">
      <c r="B19" s="684"/>
      <c r="C19" s="688"/>
      <c r="D19" s="689"/>
      <c r="E19" s="689"/>
      <c r="F19" s="690"/>
      <c r="G19" s="691" t="str">
        <f>IF(請求内容入力シート!$I$20&lt;&gt;"",請求内容入力シート!$I$20,"")</f>
        <v/>
      </c>
      <c r="H19" s="692"/>
      <c r="I19" s="692"/>
      <c r="J19" s="692"/>
      <c r="K19" s="692"/>
      <c r="L19" s="692"/>
      <c r="M19" s="692"/>
      <c r="N19" s="692"/>
      <c r="O19" s="692"/>
      <c r="P19" s="692"/>
      <c r="Q19" s="693"/>
      <c r="R19" s="771" t="str">
        <f>IF(請求内容入力シート!$E$20&lt;&gt;"",請求内容入力シート!$E$20,"")</f>
        <v/>
      </c>
      <c r="S19" s="772"/>
      <c r="T19" s="772"/>
      <c r="U19" s="772"/>
      <c r="V19" s="772"/>
      <c r="W19" s="772"/>
      <c r="X19" s="772"/>
      <c r="Y19" s="772"/>
      <c r="Z19" s="772"/>
      <c r="AA19" s="772"/>
      <c r="AB19" s="772"/>
      <c r="AC19" s="772"/>
      <c r="AD19" s="772"/>
      <c r="AE19" s="772"/>
      <c r="AF19" s="772"/>
      <c r="AG19" s="772"/>
      <c r="AH19" s="772"/>
      <c r="AI19" s="772"/>
      <c r="AJ19" s="773"/>
      <c r="AK19" s="144" t="str">
        <f>IF(請求内容入力シート!$F$20&lt;&gt;"",LEFT(RIGHT("        "&amp;請求内容入力シート!$F$20,8),1),"")</f>
        <v/>
      </c>
      <c r="AL19" s="145" t="str">
        <f>IF(請求内容入力シート!$F$20&lt;&gt;"",LEFT(RIGHT("        "&amp;請求内容入力シート!$F$20,7),1),"")</f>
        <v/>
      </c>
      <c r="AM19" s="146" t="str">
        <f>IF(請求内容入力シート!$F$20&lt;&gt;"",LEFT(RIGHT("        "&amp;請求内容入力シート!$F$20,6),1),"")</f>
        <v/>
      </c>
      <c r="AN19" s="147" t="str">
        <f>IF(請求内容入力シート!$F$20&lt;&gt;"",LEFT(RIGHT("        "&amp;請求内容入力シート!$F$20,5),1),"")</f>
        <v/>
      </c>
      <c r="AO19" s="145" t="str">
        <f>IF(請求内容入力シート!$F$20&lt;&gt;"",LEFT(RIGHT("        "&amp;請求内容入力シート!$F$20,4),1),"")</f>
        <v/>
      </c>
      <c r="AP19" s="146" t="str">
        <f>IF(請求内容入力シート!$F$20&lt;&gt;"",LEFT(RIGHT("        "&amp;請求内容入力シート!$F$20,3),1),"")</f>
        <v/>
      </c>
      <c r="AQ19" s="147" t="str">
        <f>IF(請求内容入力シート!$F$20&lt;&gt;"",LEFT(RIGHT("        "&amp;請求内容入力シート!$F$20,2),1),"")</f>
        <v/>
      </c>
      <c r="AR19" s="148" t="str">
        <f>IF(請求内容入力シート!$F$20&lt;&gt;"",LEFT(RIGHT("        "&amp;請求内容入力シート!$F$20,1),1),"")</f>
        <v/>
      </c>
    </row>
    <row r="20" spans="1:44" ht="24.95" customHeight="1">
      <c r="B20" s="683">
        <v>4</v>
      </c>
      <c r="C20" s="685" t="str">
        <f>IF(G20&lt;&gt;"",パラメータ!$B$7,"")</f>
        <v/>
      </c>
      <c r="D20" s="686"/>
      <c r="E20" s="686"/>
      <c r="F20" s="687"/>
      <c r="G20" s="136" t="str">
        <f>IF(請求内容入力シート!$C$21&lt;&gt;"",LEFT(RIGHT("0000000000"&amp;請求内容入力シート!$C$21,10),1),"")</f>
        <v/>
      </c>
      <c r="H20" s="137" t="str">
        <f>IF(請求内容入力シート!$C$21&lt;&gt;"",LEFT(RIGHT("0000000000"&amp;請求内容入力シート!$C$21,9),1),"")</f>
        <v/>
      </c>
      <c r="I20" s="137" t="str">
        <f>IF(請求内容入力シート!$C$21&lt;&gt;"",LEFT(RIGHT("0000000000"&amp;請求内容入力シート!$C$21,8),1),"")</f>
        <v/>
      </c>
      <c r="J20" s="138" t="str">
        <f>IF(請求内容入力シート!$C$21&lt;&gt;"",LEFT(RIGHT("0000000000"&amp;請求内容入力シート!$C$21,7),1),"")</f>
        <v/>
      </c>
      <c r="K20" s="127" t="s">
        <v>117</v>
      </c>
      <c r="L20" s="136" t="str">
        <f>IF(請求内容入力シート!$C$21&lt;&gt;"",LEFT(RIGHT("0000000000"&amp;請求内容入力シート!$C$21,6),1),"")</f>
        <v/>
      </c>
      <c r="M20" s="137" t="str">
        <f>IF(請求内容入力シート!$C$21&lt;&gt;"",LEFT(RIGHT("0000000000"&amp;請求内容入力シート!$C$21,5),1),"")</f>
        <v/>
      </c>
      <c r="N20" s="137" t="str">
        <f>IF(請求内容入力シート!$C$21&lt;&gt;"",LEFT(RIGHT("0000000000"&amp;請求内容入力シート!$C$21,4),1),"")</f>
        <v/>
      </c>
      <c r="O20" s="137" t="str">
        <f>IF(請求内容入力シート!$C$21&lt;&gt;"",LEFT(RIGHT("0000000000"&amp;請求内容入力シート!$C$21,3),1),"")</f>
        <v/>
      </c>
      <c r="P20" s="137" t="str">
        <f>IF(請求内容入力シート!$C$21&lt;&gt;"",LEFT(RIGHT("0000000000"&amp;請求内容入力シート!$C$21,2),1),"")</f>
        <v/>
      </c>
      <c r="Q20" s="138" t="str">
        <f>IF(請求内容入力シート!$C$21&lt;&gt;"",LEFT(RIGHT("0000000000"&amp;請求内容入力シート!$C$21,1),1),"")</f>
        <v/>
      </c>
      <c r="R20" s="697" t="str">
        <f>IF(請求内容入力シート!$D$21&lt;&gt;"",請求内容入力シート!$D$21,"")</f>
        <v/>
      </c>
      <c r="S20" s="698"/>
      <c r="T20" s="698"/>
      <c r="U20" s="698"/>
      <c r="V20" s="698"/>
      <c r="W20" s="698"/>
      <c r="X20" s="698"/>
      <c r="Y20" s="698"/>
      <c r="Z20" s="698"/>
      <c r="AA20" s="698"/>
      <c r="AB20" s="698"/>
      <c r="AC20" s="698"/>
      <c r="AD20" s="698"/>
      <c r="AE20" s="698"/>
      <c r="AF20" s="698"/>
      <c r="AG20" s="698"/>
      <c r="AH20" s="698"/>
      <c r="AI20" s="698"/>
      <c r="AJ20" s="699"/>
      <c r="AK20" s="149"/>
      <c r="AL20" s="150"/>
      <c r="AM20" s="151"/>
      <c r="AN20" s="152"/>
      <c r="AO20" s="150"/>
      <c r="AP20" s="151"/>
      <c r="AQ20" s="152"/>
      <c r="AR20" s="153"/>
    </row>
    <row r="21" spans="1:44" ht="24.95" customHeight="1">
      <c r="B21" s="684"/>
      <c r="C21" s="688"/>
      <c r="D21" s="689"/>
      <c r="E21" s="689"/>
      <c r="F21" s="690"/>
      <c r="G21" s="691" t="str">
        <f>IF(請求内容入力シート!$I$21&lt;&gt;"",請求内容入力シート!$I$21,"")</f>
        <v/>
      </c>
      <c r="H21" s="692"/>
      <c r="I21" s="692"/>
      <c r="J21" s="692"/>
      <c r="K21" s="692"/>
      <c r="L21" s="692"/>
      <c r="M21" s="692"/>
      <c r="N21" s="692"/>
      <c r="O21" s="692"/>
      <c r="P21" s="692"/>
      <c r="Q21" s="693"/>
      <c r="R21" s="771" t="str">
        <f>IF(請求内容入力シート!$E$21&lt;&gt;"",請求内容入力シート!$E$21,"")</f>
        <v/>
      </c>
      <c r="S21" s="772"/>
      <c r="T21" s="772"/>
      <c r="U21" s="772"/>
      <c r="V21" s="772"/>
      <c r="W21" s="772"/>
      <c r="X21" s="772"/>
      <c r="Y21" s="772"/>
      <c r="Z21" s="772"/>
      <c r="AA21" s="772"/>
      <c r="AB21" s="772"/>
      <c r="AC21" s="772"/>
      <c r="AD21" s="772"/>
      <c r="AE21" s="772"/>
      <c r="AF21" s="772"/>
      <c r="AG21" s="772"/>
      <c r="AH21" s="772"/>
      <c r="AI21" s="772"/>
      <c r="AJ21" s="773"/>
      <c r="AK21" s="144" t="str">
        <f>IF(請求内容入力シート!$F$21&lt;&gt;"",LEFT(RIGHT("        "&amp;請求内容入力シート!$F$21,8),1),"")</f>
        <v/>
      </c>
      <c r="AL21" s="145" t="str">
        <f>IF(請求内容入力シート!$F$21&lt;&gt;"",LEFT(RIGHT("        "&amp;請求内容入力シート!$F$21,7),1),"")</f>
        <v/>
      </c>
      <c r="AM21" s="146" t="str">
        <f>IF(請求内容入力シート!$F$21&lt;&gt;"",LEFT(RIGHT("        "&amp;請求内容入力シート!$F$21,6),1),"")</f>
        <v/>
      </c>
      <c r="AN21" s="147" t="str">
        <f>IF(請求内容入力シート!$F$21&lt;&gt;"",LEFT(RIGHT("        "&amp;請求内容入力シート!$F$21,5),1),"")</f>
        <v/>
      </c>
      <c r="AO21" s="145" t="str">
        <f>IF(請求内容入力シート!$F$21&lt;&gt;"",LEFT(RIGHT("        "&amp;請求内容入力シート!$F$21,4),1),"")</f>
        <v/>
      </c>
      <c r="AP21" s="146" t="str">
        <f>IF(請求内容入力シート!$F$21&lt;&gt;"",LEFT(RIGHT("        "&amp;請求内容入力シート!$F$21,3),1),"")</f>
        <v/>
      </c>
      <c r="AQ21" s="147" t="str">
        <f>IF(請求内容入力シート!$F$21&lt;&gt;"",LEFT(RIGHT("        "&amp;請求内容入力シート!$F$21,2),1),"")</f>
        <v/>
      </c>
      <c r="AR21" s="148" t="str">
        <f>IF(請求内容入力シート!$F$21&lt;&gt;"",LEFT(RIGHT("        "&amp;請求内容入力シート!$F$21,1),1),"")</f>
        <v/>
      </c>
    </row>
    <row r="22" spans="1:44" ht="24.95" customHeight="1">
      <c r="B22" s="683">
        <v>5</v>
      </c>
      <c r="C22" s="685" t="str">
        <f>IF(G22&lt;&gt;"",パラメータ!$B$7,"")</f>
        <v/>
      </c>
      <c r="D22" s="686"/>
      <c r="E22" s="686"/>
      <c r="F22" s="687"/>
      <c r="G22" s="136" t="str">
        <f>IF(請求内容入力シート!$C$22&lt;&gt;"",LEFT(RIGHT("0000000000"&amp;請求内容入力シート!$C$22,10),1),"")</f>
        <v/>
      </c>
      <c r="H22" s="137" t="str">
        <f>IF(請求内容入力シート!$C$22&lt;&gt;"",LEFT(RIGHT("0000000000"&amp;請求内容入力シート!$C$22,9),1),"")</f>
        <v/>
      </c>
      <c r="I22" s="137" t="str">
        <f>IF(請求内容入力シート!$C$22&lt;&gt;"",LEFT(RIGHT("0000000000"&amp;請求内容入力シート!$C$22,8),1),"")</f>
        <v/>
      </c>
      <c r="J22" s="138" t="str">
        <f>IF(請求内容入力シート!$C$22&lt;&gt;"",LEFT(RIGHT("0000000000"&amp;請求内容入力シート!$C$22,7),1),"")</f>
        <v/>
      </c>
      <c r="K22" s="127" t="s">
        <v>117</v>
      </c>
      <c r="L22" s="136" t="str">
        <f>IF(請求内容入力シート!$C$22&lt;&gt;"",LEFT(RIGHT("0000000000"&amp;請求内容入力シート!$C$22,6),1),"")</f>
        <v/>
      </c>
      <c r="M22" s="137" t="str">
        <f>IF(請求内容入力シート!$C$22&lt;&gt;"",LEFT(RIGHT("0000000000"&amp;請求内容入力シート!$C$22,5),1),"")</f>
        <v/>
      </c>
      <c r="N22" s="137" t="str">
        <f>IF(請求内容入力シート!$C$22&lt;&gt;"",LEFT(RIGHT("0000000000"&amp;請求内容入力シート!$C$22,4),1),"")</f>
        <v/>
      </c>
      <c r="O22" s="137" t="str">
        <f>IF(請求内容入力シート!$C$22&lt;&gt;"",LEFT(RIGHT("0000000000"&amp;請求内容入力シート!$C$22,3),1),"")</f>
        <v/>
      </c>
      <c r="P22" s="137" t="str">
        <f>IF(請求内容入力シート!$C$22&lt;&gt;"",LEFT(RIGHT("0000000000"&amp;請求内容入力シート!$C$22,2),1),"")</f>
        <v/>
      </c>
      <c r="Q22" s="138" t="str">
        <f>IF(請求内容入力シート!$C$22&lt;&gt;"",LEFT(RIGHT("0000000000"&amp;請求内容入力シート!$C$22,1),1),"")</f>
        <v/>
      </c>
      <c r="R22" s="697" t="str">
        <f>IF(請求内容入力シート!$D$22&lt;&gt;"",請求内容入力シート!$D$22,"")</f>
        <v/>
      </c>
      <c r="S22" s="698"/>
      <c r="T22" s="698"/>
      <c r="U22" s="698"/>
      <c r="V22" s="698"/>
      <c r="W22" s="698"/>
      <c r="X22" s="698"/>
      <c r="Y22" s="698"/>
      <c r="Z22" s="698"/>
      <c r="AA22" s="698"/>
      <c r="AB22" s="698"/>
      <c r="AC22" s="698"/>
      <c r="AD22" s="698"/>
      <c r="AE22" s="698"/>
      <c r="AF22" s="698"/>
      <c r="AG22" s="698"/>
      <c r="AH22" s="698"/>
      <c r="AI22" s="698"/>
      <c r="AJ22" s="699"/>
      <c r="AK22" s="149"/>
      <c r="AL22" s="150"/>
      <c r="AM22" s="151"/>
      <c r="AN22" s="152"/>
      <c r="AO22" s="150"/>
      <c r="AP22" s="151"/>
      <c r="AQ22" s="152"/>
      <c r="AR22" s="153"/>
    </row>
    <row r="23" spans="1:44" ht="24.95" customHeight="1">
      <c r="B23" s="684"/>
      <c r="C23" s="688"/>
      <c r="D23" s="689"/>
      <c r="E23" s="689"/>
      <c r="F23" s="690"/>
      <c r="G23" s="691" t="str">
        <f>IF(請求内容入力シート!$I$22&lt;&gt;"",請求内容入力シート!$I$22,"")</f>
        <v/>
      </c>
      <c r="H23" s="692"/>
      <c r="I23" s="692"/>
      <c r="J23" s="692"/>
      <c r="K23" s="692"/>
      <c r="L23" s="692"/>
      <c r="M23" s="692"/>
      <c r="N23" s="692"/>
      <c r="O23" s="692"/>
      <c r="P23" s="692"/>
      <c r="Q23" s="693"/>
      <c r="R23" s="771" t="str">
        <f>IF(請求内容入力シート!$E$22&lt;&gt;"",請求内容入力シート!$E$22,"")</f>
        <v/>
      </c>
      <c r="S23" s="772"/>
      <c r="T23" s="772"/>
      <c r="U23" s="772"/>
      <c r="V23" s="772"/>
      <c r="W23" s="772"/>
      <c r="X23" s="772"/>
      <c r="Y23" s="772"/>
      <c r="Z23" s="772"/>
      <c r="AA23" s="772"/>
      <c r="AB23" s="772"/>
      <c r="AC23" s="772"/>
      <c r="AD23" s="772"/>
      <c r="AE23" s="772"/>
      <c r="AF23" s="772"/>
      <c r="AG23" s="772"/>
      <c r="AH23" s="772"/>
      <c r="AI23" s="772"/>
      <c r="AJ23" s="773"/>
      <c r="AK23" s="144" t="str">
        <f>IF(請求内容入力シート!$F$22&lt;&gt;"",LEFT(RIGHT("        "&amp;請求内容入力シート!$F$22,8),1),"")</f>
        <v/>
      </c>
      <c r="AL23" s="145" t="str">
        <f>IF(請求内容入力シート!$F$22&lt;&gt;"",LEFT(RIGHT("        "&amp;請求内容入力シート!$F$22,7),1),"")</f>
        <v/>
      </c>
      <c r="AM23" s="146" t="str">
        <f>IF(請求内容入力シート!$F$22&lt;&gt;"",LEFT(RIGHT("        "&amp;請求内容入力シート!$F$22,6),1),"")</f>
        <v/>
      </c>
      <c r="AN23" s="147" t="str">
        <f>IF(請求内容入力シート!$F$22&lt;&gt;"",LEFT(RIGHT("        "&amp;請求内容入力シート!$F$22,5),1),"")</f>
        <v/>
      </c>
      <c r="AO23" s="145" t="str">
        <f>IF(請求内容入力シート!$F$22&lt;&gt;"",LEFT(RIGHT("        "&amp;請求内容入力シート!$F$22,4),1),"")</f>
        <v/>
      </c>
      <c r="AP23" s="146" t="str">
        <f>IF(請求内容入力シート!$F$22&lt;&gt;"",LEFT(RIGHT("        "&amp;請求内容入力シート!$F$22,3),1),"")</f>
        <v/>
      </c>
      <c r="AQ23" s="147" t="str">
        <f>IF(請求内容入力シート!$F$22&lt;&gt;"",LEFT(RIGHT("        "&amp;請求内容入力シート!$F$22,2),1),"")</f>
        <v/>
      </c>
      <c r="AR23" s="148" t="str">
        <f>IF(請求内容入力シート!$F$22&lt;&gt;"",LEFT(RIGHT("        "&amp;請求内容入力シート!$F$22,1),1),"")</f>
        <v/>
      </c>
    </row>
    <row r="24" spans="1:44" ht="24.95" customHeight="1">
      <c r="B24" s="683">
        <v>6</v>
      </c>
      <c r="C24" s="685" t="str">
        <f>IF(G24&lt;&gt;"",パラメータ!$B$7,"")</f>
        <v/>
      </c>
      <c r="D24" s="686"/>
      <c r="E24" s="686"/>
      <c r="F24" s="687"/>
      <c r="G24" s="136" t="str">
        <f>IF(請求内容入力シート!$C$23&lt;&gt;"",LEFT(RIGHT("0000000000"&amp;請求内容入力シート!$C$23,10),1),"")</f>
        <v/>
      </c>
      <c r="H24" s="137" t="str">
        <f>IF(請求内容入力シート!$C$23&lt;&gt;"",LEFT(RIGHT("0000000000"&amp;請求内容入力シート!$C$23,9),1),"")</f>
        <v/>
      </c>
      <c r="I24" s="137" t="str">
        <f>IF(請求内容入力シート!$C$23&lt;&gt;"",LEFT(RIGHT("0000000000"&amp;請求内容入力シート!$C$23,8),1),"")</f>
        <v/>
      </c>
      <c r="J24" s="138" t="str">
        <f>IF(請求内容入力シート!$C$23&lt;&gt;"",LEFT(RIGHT("0000000000"&amp;請求内容入力シート!$C$23,7),1),"")</f>
        <v/>
      </c>
      <c r="K24" s="127" t="s">
        <v>117</v>
      </c>
      <c r="L24" s="136" t="str">
        <f>IF(請求内容入力シート!$C$23&lt;&gt;"",LEFT(RIGHT("0000000000"&amp;請求内容入力シート!$C$23,6),1),"")</f>
        <v/>
      </c>
      <c r="M24" s="137" t="str">
        <f>IF(請求内容入力シート!$C$23&lt;&gt;"",LEFT(RIGHT("0000000000"&amp;請求内容入力シート!$C$23,5),1),"")</f>
        <v/>
      </c>
      <c r="N24" s="137" t="str">
        <f>IF(請求内容入力シート!$C$23&lt;&gt;"",LEFT(RIGHT("0000000000"&amp;請求内容入力シート!$C$23,4),1),"")</f>
        <v/>
      </c>
      <c r="O24" s="137" t="str">
        <f>IF(請求内容入力シート!$C$23&lt;&gt;"",LEFT(RIGHT("0000000000"&amp;請求内容入力シート!$C$23,3),1),"")</f>
        <v/>
      </c>
      <c r="P24" s="137" t="str">
        <f>IF(請求内容入力シート!$C$23&lt;&gt;"",LEFT(RIGHT("0000000000"&amp;請求内容入力シート!$C$23,2),1),"")</f>
        <v/>
      </c>
      <c r="Q24" s="138" t="str">
        <f>IF(請求内容入力シート!$C$23&lt;&gt;"",LEFT(RIGHT("0000000000"&amp;請求内容入力シート!$C$23,1),1),"")</f>
        <v/>
      </c>
      <c r="R24" s="697" t="str">
        <f>IF(請求内容入力シート!$D$23&lt;&gt;"",請求内容入力シート!$D$23,"")</f>
        <v/>
      </c>
      <c r="S24" s="698"/>
      <c r="T24" s="698"/>
      <c r="U24" s="698"/>
      <c r="V24" s="698"/>
      <c r="W24" s="698"/>
      <c r="X24" s="698"/>
      <c r="Y24" s="698"/>
      <c r="Z24" s="698"/>
      <c r="AA24" s="698"/>
      <c r="AB24" s="698"/>
      <c r="AC24" s="698"/>
      <c r="AD24" s="698"/>
      <c r="AE24" s="698"/>
      <c r="AF24" s="698"/>
      <c r="AG24" s="698"/>
      <c r="AH24" s="698"/>
      <c r="AI24" s="698"/>
      <c r="AJ24" s="699"/>
      <c r="AK24" s="149"/>
      <c r="AL24" s="150"/>
      <c r="AM24" s="151"/>
      <c r="AN24" s="152"/>
      <c r="AO24" s="150"/>
      <c r="AP24" s="151"/>
      <c r="AQ24" s="152"/>
      <c r="AR24" s="153"/>
    </row>
    <row r="25" spans="1:44" ht="24.95" customHeight="1">
      <c r="B25" s="684"/>
      <c r="C25" s="688"/>
      <c r="D25" s="689"/>
      <c r="E25" s="689"/>
      <c r="F25" s="690"/>
      <c r="G25" s="691" t="str">
        <f>IF(請求内容入力シート!$I$23&lt;&gt;"",請求内容入力シート!$I$23,"")</f>
        <v/>
      </c>
      <c r="H25" s="692"/>
      <c r="I25" s="692"/>
      <c r="J25" s="692"/>
      <c r="K25" s="692"/>
      <c r="L25" s="692"/>
      <c r="M25" s="692"/>
      <c r="N25" s="692"/>
      <c r="O25" s="692"/>
      <c r="P25" s="692"/>
      <c r="Q25" s="693"/>
      <c r="R25" s="771" t="str">
        <f>IF(請求内容入力シート!$E$23&lt;&gt;"",請求内容入力シート!$E$23,"")</f>
        <v/>
      </c>
      <c r="S25" s="772"/>
      <c r="T25" s="772"/>
      <c r="U25" s="772"/>
      <c r="V25" s="772"/>
      <c r="W25" s="772"/>
      <c r="X25" s="772"/>
      <c r="Y25" s="772"/>
      <c r="Z25" s="772"/>
      <c r="AA25" s="772"/>
      <c r="AB25" s="772"/>
      <c r="AC25" s="772"/>
      <c r="AD25" s="772"/>
      <c r="AE25" s="772"/>
      <c r="AF25" s="772"/>
      <c r="AG25" s="772"/>
      <c r="AH25" s="772"/>
      <c r="AI25" s="772"/>
      <c r="AJ25" s="773"/>
      <c r="AK25" s="144" t="str">
        <f>IF(請求内容入力シート!$F$23&lt;&gt;"",LEFT(RIGHT("        "&amp;請求内容入力シート!$F$23,8),1),"")</f>
        <v/>
      </c>
      <c r="AL25" s="145" t="str">
        <f>IF(請求内容入力シート!$F$23&lt;&gt;"",LEFT(RIGHT("        "&amp;請求内容入力シート!$F$23,7),1),"")</f>
        <v/>
      </c>
      <c r="AM25" s="146" t="str">
        <f>IF(請求内容入力シート!$F$23&lt;&gt;"",LEFT(RIGHT("        "&amp;請求内容入力シート!$F$23,6),1),"")</f>
        <v/>
      </c>
      <c r="AN25" s="147" t="str">
        <f>IF(請求内容入力シート!$F$23&lt;&gt;"",LEFT(RIGHT("        "&amp;請求内容入力シート!$F$23,5),1),"")</f>
        <v/>
      </c>
      <c r="AO25" s="145" t="str">
        <f>IF(請求内容入力シート!$F$23&lt;&gt;"",LEFT(RIGHT("        "&amp;請求内容入力シート!$F$23,4),1),"")</f>
        <v/>
      </c>
      <c r="AP25" s="146" t="str">
        <f>IF(請求内容入力シート!$F$23&lt;&gt;"",LEFT(RIGHT("        "&amp;請求内容入力シート!$F$23,3),1),"")</f>
        <v/>
      </c>
      <c r="AQ25" s="147" t="str">
        <f>IF(請求内容入力シート!$F$23&lt;&gt;"",LEFT(RIGHT("        "&amp;請求内容入力シート!$F$23,2),1),"")</f>
        <v/>
      </c>
      <c r="AR25" s="148" t="str">
        <f>IF(請求内容入力シート!$F$23&lt;&gt;"",LEFT(RIGHT("        "&amp;請求内容入力シート!$F$23,1),1),"")</f>
        <v/>
      </c>
    </row>
    <row r="26" spans="1:44" ht="24.95" customHeight="1">
      <c r="B26" s="683">
        <v>7</v>
      </c>
      <c r="C26" s="685" t="str">
        <f>IF(G26&lt;&gt;"",パラメータ!$B$7,"")</f>
        <v/>
      </c>
      <c r="D26" s="686"/>
      <c r="E26" s="686"/>
      <c r="F26" s="687"/>
      <c r="G26" s="136" t="str">
        <f>IF(請求内容入力シート!$C$24&lt;&gt;"",LEFT(RIGHT("0000000000"&amp;請求内容入力シート!$C$24,10),1),"")</f>
        <v/>
      </c>
      <c r="H26" s="137" t="str">
        <f>IF(請求内容入力シート!$C$24&lt;&gt;"",LEFT(RIGHT("0000000000"&amp;請求内容入力シート!$C$24,9),1),"")</f>
        <v/>
      </c>
      <c r="I26" s="137" t="str">
        <f>IF(請求内容入力シート!$C$24&lt;&gt;"",LEFT(RIGHT("0000000000"&amp;請求内容入力シート!$C$24,8),1),"")</f>
        <v/>
      </c>
      <c r="J26" s="138" t="str">
        <f>IF(請求内容入力シート!$C$24&lt;&gt;"",LEFT(RIGHT("0000000000"&amp;請求内容入力シート!$C$24,7),1),"")</f>
        <v/>
      </c>
      <c r="K26" s="127" t="s">
        <v>117</v>
      </c>
      <c r="L26" s="136" t="str">
        <f>IF(請求内容入力シート!$C$24&lt;&gt;"",LEFT(RIGHT("0000000000"&amp;請求内容入力シート!$C$24,6),1),"")</f>
        <v/>
      </c>
      <c r="M26" s="137" t="str">
        <f>IF(請求内容入力シート!$C$24&lt;&gt;"",LEFT(RIGHT("0000000000"&amp;請求内容入力シート!$C$24,5),1),"")</f>
        <v/>
      </c>
      <c r="N26" s="137" t="str">
        <f>IF(請求内容入力シート!$C$24&lt;&gt;"",LEFT(RIGHT("0000000000"&amp;請求内容入力シート!$C$24,4),1),"")</f>
        <v/>
      </c>
      <c r="O26" s="137" t="str">
        <f>IF(請求内容入力シート!$C$24&lt;&gt;"",LEFT(RIGHT("0000000000"&amp;請求内容入力シート!$C$24,3),1),"")</f>
        <v/>
      </c>
      <c r="P26" s="137" t="str">
        <f>IF(請求内容入力シート!$C$24&lt;&gt;"",LEFT(RIGHT("0000000000"&amp;請求内容入力シート!$C$24,2),1),"")</f>
        <v/>
      </c>
      <c r="Q26" s="138" t="str">
        <f>IF(請求内容入力シート!$C$24&lt;&gt;"",LEFT(RIGHT("0000000000"&amp;請求内容入力シート!$C$24,1),1),"")</f>
        <v/>
      </c>
      <c r="R26" s="697" t="str">
        <f>IF(請求内容入力シート!$D$24&lt;&gt;"",請求内容入力シート!$D$24,"")</f>
        <v/>
      </c>
      <c r="S26" s="698"/>
      <c r="T26" s="698"/>
      <c r="U26" s="698"/>
      <c r="V26" s="698"/>
      <c r="W26" s="698"/>
      <c r="X26" s="698"/>
      <c r="Y26" s="698"/>
      <c r="Z26" s="698"/>
      <c r="AA26" s="698"/>
      <c r="AB26" s="698"/>
      <c r="AC26" s="698"/>
      <c r="AD26" s="698"/>
      <c r="AE26" s="698"/>
      <c r="AF26" s="698"/>
      <c r="AG26" s="698"/>
      <c r="AH26" s="698"/>
      <c r="AI26" s="698"/>
      <c r="AJ26" s="699"/>
      <c r="AK26" s="149"/>
      <c r="AL26" s="150"/>
      <c r="AM26" s="151"/>
      <c r="AN26" s="152"/>
      <c r="AO26" s="150"/>
      <c r="AP26" s="151"/>
      <c r="AQ26" s="152"/>
      <c r="AR26" s="153"/>
    </row>
    <row r="27" spans="1:44" ht="24.95" customHeight="1" thickBot="1">
      <c r="B27" s="739"/>
      <c r="C27" s="740"/>
      <c r="D27" s="702"/>
      <c r="E27" s="702"/>
      <c r="F27" s="703"/>
      <c r="G27" s="741" t="str">
        <f>IF(請求内容入力シート!$I$24&lt;&gt;"",請求内容入力シート!$I$24,"")</f>
        <v/>
      </c>
      <c r="H27" s="742"/>
      <c r="I27" s="742"/>
      <c r="J27" s="742"/>
      <c r="K27" s="742"/>
      <c r="L27" s="742"/>
      <c r="M27" s="742"/>
      <c r="N27" s="742"/>
      <c r="O27" s="742"/>
      <c r="P27" s="742"/>
      <c r="Q27" s="743"/>
      <c r="R27" s="774" t="str">
        <f>IF(請求内容入力シート!$E$24&lt;&gt;"",請求内容入力シート!$E$24,"")</f>
        <v/>
      </c>
      <c r="S27" s="775"/>
      <c r="T27" s="775"/>
      <c r="U27" s="775"/>
      <c r="V27" s="775"/>
      <c r="W27" s="775"/>
      <c r="X27" s="775"/>
      <c r="Y27" s="775"/>
      <c r="Z27" s="775"/>
      <c r="AA27" s="775"/>
      <c r="AB27" s="775"/>
      <c r="AC27" s="775"/>
      <c r="AD27" s="775"/>
      <c r="AE27" s="775"/>
      <c r="AF27" s="775"/>
      <c r="AG27" s="775"/>
      <c r="AH27" s="775"/>
      <c r="AI27" s="775"/>
      <c r="AJ27" s="776"/>
      <c r="AK27" s="139" t="str">
        <f>IF(請求内容入力シート!$F$24&lt;&gt;"",LEFT(RIGHT("        "&amp;請求内容入力シート!$F$24,8),1),"")</f>
        <v/>
      </c>
      <c r="AL27" s="140" t="str">
        <f>IF(請求内容入力シート!$F$24&lt;&gt;"",LEFT(RIGHT("        "&amp;請求内容入力シート!$F$24,7),1),"")</f>
        <v/>
      </c>
      <c r="AM27" s="141" t="str">
        <f>IF(請求内容入力シート!$F$24&lt;&gt;"",LEFT(RIGHT("        "&amp;請求内容入力シート!$F$24,6),1),"")</f>
        <v/>
      </c>
      <c r="AN27" s="142" t="str">
        <f>IF(請求内容入力シート!$F$24&lt;&gt;"",LEFT(RIGHT("        "&amp;請求内容入力シート!$F$24,5),1),"")</f>
        <v/>
      </c>
      <c r="AO27" s="140" t="str">
        <f>IF(請求内容入力シート!$F$24&lt;&gt;"",LEFT(RIGHT("        "&amp;請求内容入力シート!$F$24,4),1),"")</f>
        <v/>
      </c>
      <c r="AP27" s="141" t="str">
        <f>IF(請求内容入力シート!$F$24&lt;&gt;"",LEFT(RIGHT("        "&amp;請求内容入力シート!$F$24,3),1),"")</f>
        <v/>
      </c>
      <c r="AQ27" s="142" t="str">
        <f>IF(請求内容入力シート!$F$24&lt;&gt;"",LEFT(RIGHT("        "&amp;請求内容入力シート!$F$24,2),1),"")</f>
        <v/>
      </c>
      <c r="AR27" s="143" t="str">
        <f>IF(請求内容入力シート!$F$24&lt;&gt;"",LEFT(RIGHT("        "&amp;請求内容入力シート!$F$24,1),1),"")</f>
        <v/>
      </c>
    </row>
    <row r="28" spans="1:44" ht="24.95" customHeight="1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8" t="s">
        <v>3</v>
      </c>
      <c r="AE28" s="747" t="s">
        <v>4</v>
      </c>
      <c r="AF28" s="748"/>
      <c r="AG28" s="748"/>
      <c r="AH28" s="748"/>
      <c r="AI28" s="748"/>
      <c r="AJ28" s="748"/>
      <c r="AK28" s="154" t="str">
        <f>IF(請求内容入力シート!$P$21&lt;&gt;"",LEFT(RIGHT("        "&amp;請求内容入力シート!$P$21,8),1),"")</f>
        <v xml:space="preserve"> </v>
      </c>
      <c r="AL28" s="155" t="str">
        <f>IF(請求内容入力シート!$P$21&lt;&gt;"",LEFT(RIGHT("        "&amp;請求内容入力シート!$P$21,7),1),"")</f>
        <v xml:space="preserve"> </v>
      </c>
      <c r="AM28" s="156" t="str">
        <f>IF(請求内容入力シート!$P$21&lt;&gt;"",LEFT(RIGHT("        "&amp;請求内容入力シート!$P$21,6),1),"")</f>
        <v xml:space="preserve"> </v>
      </c>
      <c r="AN28" s="157" t="str">
        <f>IF(請求内容入力シート!$P$21&lt;&gt;"",LEFT(RIGHT("        "&amp;請求内容入力シート!$P$21,5),1),"")</f>
        <v xml:space="preserve"> </v>
      </c>
      <c r="AO28" s="155" t="str">
        <f>IF(請求内容入力シート!$P$21&lt;&gt;"",LEFT(RIGHT("        "&amp;請求内容入力シート!$P$21,4),1),"")</f>
        <v xml:space="preserve"> </v>
      </c>
      <c r="AP28" s="156" t="str">
        <f>IF(請求内容入力シート!$P$21&lt;&gt;"",LEFT(RIGHT("        "&amp;請求内容入力シート!$P$21,3),1),"")</f>
        <v xml:space="preserve"> </v>
      </c>
      <c r="AQ28" s="157" t="str">
        <f>IF(請求内容入力シート!$P$21&lt;&gt;"",LEFT(RIGHT("        "&amp;請求内容入力シート!$P$21,2),1),"")</f>
        <v xml:space="preserve"> </v>
      </c>
      <c r="AR28" s="158" t="str">
        <f>IF(請求内容入力シート!$P$21&lt;&gt;"",LEFT(RIGHT("        "&amp;請求内容入力シート!$P$21,1),1),"")</f>
        <v>0</v>
      </c>
    </row>
    <row r="29" spans="1:44" ht="24.95" customHeight="1">
      <c r="B29" s="749" t="s">
        <v>7</v>
      </c>
      <c r="C29" s="749"/>
      <c r="D29" s="749"/>
      <c r="E29" s="749"/>
      <c r="F29" s="749"/>
      <c r="AD29" s="19"/>
      <c r="AE29" s="750" t="s">
        <v>5</v>
      </c>
      <c r="AF29" s="751"/>
      <c r="AG29" s="751"/>
      <c r="AH29" s="751"/>
      <c r="AI29" s="751"/>
      <c r="AJ29" s="751"/>
      <c r="AK29" s="159" t="str">
        <f>IF(請求内容入力シート!$P$22&lt;&gt;"",LEFT(RIGHT("        "&amp;請求内容入力シート!$P$22,8),1),"")</f>
        <v xml:space="preserve"> </v>
      </c>
      <c r="AL29" s="160" t="str">
        <f>IF(請求内容入力シート!$P$22&lt;&gt;"",LEFT(RIGHT("        "&amp;請求内容入力シート!$P$22,7),1),"")</f>
        <v xml:space="preserve"> </v>
      </c>
      <c r="AM29" s="161" t="str">
        <f>IF(請求内容入力シート!$P$22&lt;&gt;"",LEFT(RIGHT("        "&amp;請求内容入力シート!$P$22,6),1),"")</f>
        <v xml:space="preserve"> </v>
      </c>
      <c r="AN29" s="162" t="str">
        <f>IF(請求内容入力シート!$P$22&lt;&gt;"",LEFT(RIGHT("        "&amp;請求内容入力シート!$P$22,5),1),"")</f>
        <v xml:space="preserve"> </v>
      </c>
      <c r="AO29" s="160" t="str">
        <f>IF(請求内容入力シート!$P$22&lt;&gt;"",LEFT(RIGHT("        "&amp;請求内容入力シート!$P$22,4),1),"")</f>
        <v xml:space="preserve"> </v>
      </c>
      <c r="AP29" s="161" t="str">
        <f>IF(請求内容入力シート!$P$22&lt;&gt;"",LEFT(RIGHT("        "&amp;請求内容入力シート!$P$22,3),1),"")</f>
        <v xml:space="preserve"> </v>
      </c>
      <c r="AQ29" s="162" t="str">
        <f>IF(請求内容入力シート!$P$22&lt;&gt;"",LEFT(RIGHT("        "&amp;請求内容入力シート!$P$22,2),1),"")</f>
        <v xml:space="preserve"> </v>
      </c>
      <c r="AR29" s="163" t="str">
        <f>IF(請求内容入力シート!$P$22&lt;&gt;"",LEFT(RIGHT("        "&amp;請求内容入力シート!$P$22,1),1),"")</f>
        <v>0</v>
      </c>
    </row>
    <row r="30" spans="1:44" ht="24.95" customHeight="1" thickBot="1">
      <c r="A30" s="1" t="s">
        <v>3</v>
      </c>
      <c r="B30" s="9"/>
      <c r="C30" s="2" t="s">
        <v>127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0"/>
      <c r="AD30" s="19"/>
      <c r="AE30" s="752" t="s">
        <v>6</v>
      </c>
      <c r="AF30" s="753"/>
      <c r="AG30" s="753"/>
      <c r="AH30" s="753"/>
      <c r="AI30" s="753"/>
      <c r="AJ30" s="753"/>
      <c r="AK30" s="164" t="str">
        <f>IF(請求内容入力シート!$R$22&lt;&gt;"",LEFT(RIGHT("        "&amp;請求内容入力シート!$R$22,8),1),"")</f>
        <v xml:space="preserve"> </v>
      </c>
      <c r="AL30" s="165" t="str">
        <f>IF(請求内容入力シート!$R$22&lt;&gt;"",LEFT(RIGHT("        "&amp;請求内容入力シート!$R$22,7),1),"")</f>
        <v xml:space="preserve"> </v>
      </c>
      <c r="AM30" s="166" t="str">
        <f>IF(請求内容入力シート!$R$22&lt;&gt;"",LEFT(RIGHT("        "&amp;請求内容入力シート!$R$22,6),1),"")</f>
        <v xml:space="preserve"> </v>
      </c>
      <c r="AN30" s="167" t="str">
        <f>IF(請求内容入力シート!$R$22&lt;&gt;"",LEFT(RIGHT("        "&amp;請求内容入力シート!$R$22,5),1),"")</f>
        <v xml:space="preserve"> </v>
      </c>
      <c r="AO30" s="165" t="str">
        <f>IF(請求内容入力シート!$R$22&lt;&gt;"",LEFT(RIGHT("        "&amp;請求内容入力シート!$R$22,4),1),"")</f>
        <v xml:space="preserve"> </v>
      </c>
      <c r="AP30" s="166" t="str">
        <f>IF(請求内容入力シート!$R$22&lt;&gt;"",LEFT(RIGHT("        "&amp;請求内容入力シート!$R$22,3),1),"")</f>
        <v xml:space="preserve"> </v>
      </c>
      <c r="AQ30" s="167" t="str">
        <f>IF(請求内容入力シート!$R$22&lt;&gt;"",LEFT(RIGHT("        "&amp;請求内容入力シート!$R$22,2),1),"")</f>
        <v xml:space="preserve"> </v>
      </c>
      <c r="AR30" s="168" t="str">
        <f>IF(請求内容入力シート!$R$22&lt;&gt;"",LEFT(RIGHT("        "&amp;請求内容入力シート!$R$22,1),1),"")</f>
        <v>0</v>
      </c>
    </row>
    <row r="31" spans="1:44">
      <c r="B31" s="11"/>
      <c r="AC31" s="12"/>
    </row>
    <row r="32" spans="1:44">
      <c r="B32" s="11"/>
      <c r="AC32" s="12"/>
    </row>
    <row r="33" spans="2:44">
      <c r="B33" s="11"/>
      <c r="AC33" s="12"/>
    </row>
    <row r="34" spans="2:44">
      <c r="B34" s="11"/>
      <c r="AC34" s="12"/>
    </row>
    <row r="35" spans="2:44">
      <c r="B35" s="11"/>
      <c r="AC35" s="12"/>
    </row>
    <row r="36" spans="2:44">
      <c r="B36" s="11"/>
      <c r="AC36" s="12"/>
    </row>
    <row r="37" spans="2:44">
      <c r="B37" s="11"/>
      <c r="AC37" s="12"/>
    </row>
    <row r="38" spans="2:44">
      <c r="B38" s="11"/>
      <c r="AC38" s="12"/>
    </row>
    <row r="39" spans="2:44">
      <c r="B39" s="11"/>
      <c r="AC39" s="12"/>
    </row>
    <row r="40" spans="2:44"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5"/>
    </row>
    <row r="41" spans="2:44" ht="20.100000000000001" customHeight="1">
      <c r="B41" s="705"/>
      <c r="C41" s="754"/>
      <c r="D41" s="754"/>
      <c r="E41" s="738"/>
      <c r="F41" s="738"/>
      <c r="G41" s="738"/>
      <c r="H41" s="738"/>
      <c r="I41" s="738"/>
      <c r="J41" s="738"/>
      <c r="K41" s="738"/>
      <c r="L41" s="738"/>
      <c r="M41" s="7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2:44" ht="24.95" customHeight="1">
      <c r="B42" s="762" t="s">
        <v>12</v>
      </c>
      <c r="C42" s="715"/>
      <c r="D42" s="716"/>
      <c r="E42" s="712" t="str">
        <f>パラメータ!B6</f>
        <v>企業システム開発部 第2開発センター</v>
      </c>
      <c r="F42" s="713"/>
      <c r="G42" s="713"/>
      <c r="H42" s="713"/>
      <c r="I42" s="713"/>
      <c r="J42" s="713"/>
      <c r="K42" s="713"/>
      <c r="L42" s="713"/>
      <c r="M42" s="713"/>
      <c r="N42" s="763"/>
      <c r="O42" s="763"/>
      <c r="P42" s="763"/>
      <c r="Q42" s="763"/>
      <c r="R42" s="764"/>
    </row>
    <row r="43" spans="2:44" ht="13.5" customHeight="1">
      <c r="B43" s="765" t="s">
        <v>9</v>
      </c>
      <c r="C43" s="712" t="s">
        <v>125</v>
      </c>
      <c r="D43" s="769"/>
      <c r="E43" s="769"/>
      <c r="F43" s="770"/>
      <c r="G43" s="712" t="s">
        <v>126</v>
      </c>
      <c r="H43" s="769"/>
      <c r="I43" s="769"/>
      <c r="J43" s="770"/>
      <c r="K43" s="712" t="s">
        <v>10</v>
      </c>
      <c r="L43" s="769"/>
      <c r="M43" s="769"/>
      <c r="N43" s="770"/>
      <c r="O43" s="712" t="s">
        <v>11</v>
      </c>
      <c r="P43" s="769"/>
      <c r="Q43" s="769"/>
      <c r="R43" s="770"/>
      <c r="AK43" s="755" t="s">
        <v>30</v>
      </c>
      <c r="AL43" s="755"/>
      <c r="AM43" s="755"/>
      <c r="AN43" s="755"/>
      <c r="AO43" s="755"/>
      <c r="AP43" s="755"/>
    </row>
    <row r="44" spans="2:44">
      <c r="B44" s="766"/>
      <c r="C44" s="11"/>
      <c r="F44" s="12"/>
      <c r="G44" s="11"/>
      <c r="J44" s="12"/>
      <c r="K44" s="11"/>
      <c r="N44" s="12"/>
      <c r="R44" s="12"/>
      <c r="AK44" s="756" t="str">
        <f>パラメータ!$B$8&amp;"02"</f>
        <v>C14102</v>
      </c>
      <c r="AL44" s="757"/>
      <c r="AM44" s="757"/>
      <c r="AN44" s="757"/>
      <c r="AO44" s="757"/>
      <c r="AP44" s="758"/>
    </row>
    <row r="45" spans="2:44">
      <c r="B45" s="767"/>
      <c r="C45" s="11"/>
      <c r="F45" s="12"/>
      <c r="G45" s="11"/>
      <c r="J45" s="12"/>
      <c r="K45" s="11"/>
      <c r="N45" s="12"/>
      <c r="R45" s="12"/>
      <c r="AK45" s="759"/>
      <c r="AL45" s="760"/>
      <c r="AM45" s="760"/>
      <c r="AN45" s="760"/>
      <c r="AO45" s="760"/>
      <c r="AP45" s="761"/>
    </row>
    <row r="46" spans="2:44">
      <c r="B46" s="768"/>
      <c r="C46" s="13"/>
      <c r="D46" s="14"/>
      <c r="E46" s="14"/>
      <c r="F46" s="15"/>
      <c r="G46" s="13"/>
      <c r="H46" s="14"/>
      <c r="I46" s="14"/>
      <c r="J46" s="15"/>
      <c r="K46" s="13"/>
      <c r="L46" s="14"/>
      <c r="M46" s="14"/>
      <c r="N46" s="15"/>
      <c r="O46" s="14"/>
      <c r="P46" s="14"/>
      <c r="Q46" s="14"/>
      <c r="R46" s="15"/>
    </row>
    <row r="48" spans="2:44">
      <c r="AI48" s="680">
        <f>AI1</f>
        <v>46255</v>
      </c>
      <c r="AJ48" s="680"/>
      <c r="AK48" s="680"/>
      <c r="AL48" s="680"/>
      <c r="AM48" s="680"/>
      <c r="AN48" s="680"/>
      <c r="AO48" s="681" t="s">
        <v>191</v>
      </c>
      <c r="AP48" s="681"/>
      <c r="AQ48" s="681"/>
      <c r="AR48" s="287"/>
    </row>
    <row r="49" spans="2:44">
      <c r="AI49" s="680"/>
      <c r="AJ49" s="680"/>
      <c r="AK49" s="680"/>
      <c r="AL49" s="680"/>
      <c r="AM49" s="680"/>
      <c r="AN49" s="680"/>
      <c r="AO49" s="681"/>
      <c r="AP49" s="681"/>
      <c r="AQ49" s="681"/>
      <c r="AR49" s="287"/>
    </row>
    <row r="50" spans="2:44" ht="13.5" customHeight="1">
      <c r="B50" s="682" t="s">
        <v>252</v>
      </c>
      <c r="C50" s="682"/>
      <c r="D50" s="682"/>
      <c r="E50" s="682"/>
      <c r="F50" s="682"/>
      <c r="G50" s="682"/>
      <c r="H50" s="682"/>
      <c r="I50" s="682"/>
      <c r="J50" s="682"/>
      <c r="K50" s="682"/>
      <c r="L50" s="682"/>
      <c r="M50" s="682"/>
      <c r="N50" s="682"/>
      <c r="O50" s="682"/>
      <c r="P50" s="682"/>
      <c r="Q50" s="682"/>
      <c r="R50" s="682"/>
      <c r="S50" s="682"/>
      <c r="T50" s="682"/>
      <c r="U50" s="682"/>
      <c r="V50" s="682"/>
      <c r="W50" s="682"/>
      <c r="X50" s="682"/>
      <c r="Y50" s="682"/>
      <c r="Z50" s="682"/>
      <c r="AA50" s="682"/>
      <c r="AB50" s="682"/>
      <c r="AC50" s="682"/>
      <c r="AD50" s="682"/>
      <c r="AE50" s="682"/>
      <c r="AF50" s="682"/>
      <c r="AG50" s="682"/>
      <c r="AH50" s="682"/>
      <c r="AI50" s="682"/>
      <c r="AJ50" s="682"/>
      <c r="AK50" s="682"/>
      <c r="AL50" s="682"/>
      <c r="AM50" s="682"/>
      <c r="AN50" s="682"/>
      <c r="AO50" s="682"/>
      <c r="AP50" s="682"/>
      <c r="AQ50" s="682"/>
      <c r="AR50" s="682"/>
    </row>
    <row r="51" spans="2:44" ht="13.5" customHeight="1">
      <c r="B51" s="682"/>
      <c r="C51" s="682"/>
      <c r="D51" s="682"/>
      <c r="E51" s="682"/>
      <c r="F51" s="682"/>
      <c r="G51" s="682"/>
      <c r="H51" s="682"/>
      <c r="I51" s="682"/>
      <c r="J51" s="682"/>
      <c r="K51" s="682"/>
      <c r="L51" s="682"/>
      <c r="M51" s="682"/>
      <c r="N51" s="682"/>
      <c r="O51" s="682"/>
      <c r="P51" s="682"/>
      <c r="Q51" s="682"/>
      <c r="R51" s="682"/>
      <c r="S51" s="682"/>
      <c r="T51" s="682"/>
      <c r="U51" s="682"/>
      <c r="V51" s="682"/>
      <c r="W51" s="682"/>
      <c r="X51" s="682"/>
      <c r="Y51" s="682"/>
      <c r="Z51" s="682"/>
      <c r="AA51" s="682"/>
      <c r="AB51" s="682"/>
      <c r="AC51" s="682"/>
      <c r="AD51" s="682"/>
      <c r="AE51" s="682"/>
      <c r="AF51" s="682"/>
      <c r="AG51" s="682"/>
      <c r="AH51" s="682"/>
      <c r="AI51" s="682"/>
      <c r="AJ51" s="682"/>
      <c r="AK51" s="682"/>
      <c r="AL51" s="682"/>
      <c r="AM51" s="682"/>
      <c r="AN51" s="682"/>
      <c r="AO51" s="682"/>
      <c r="AP51" s="682"/>
      <c r="AQ51" s="682"/>
      <c r="AR51" s="682"/>
    </row>
  </sheetData>
  <mergeCells count="69">
    <mergeCell ref="AO1:AQ2"/>
    <mergeCell ref="R18:AJ18"/>
    <mergeCell ref="R20:AJ20"/>
    <mergeCell ref="R22:AJ22"/>
    <mergeCell ref="R24:AJ24"/>
    <mergeCell ref="R21:AJ21"/>
    <mergeCell ref="R23:AJ23"/>
    <mergeCell ref="R19:AJ19"/>
    <mergeCell ref="B3:AR4"/>
    <mergeCell ref="C12:F13"/>
    <mergeCell ref="AK6:AR6"/>
    <mergeCell ref="B12:B13"/>
    <mergeCell ref="G13:Q13"/>
    <mergeCell ref="AK7:AR8"/>
    <mergeCell ref="AG5:AJ5"/>
    <mergeCell ref="AK12:AR13"/>
    <mergeCell ref="B20:B21"/>
    <mergeCell ref="G21:Q21"/>
    <mergeCell ref="G23:Q23"/>
    <mergeCell ref="AG7:AJ8"/>
    <mergeCell ref="B5:H5"/>
    <mergeCell ref="AG6:AJ6"/>
    <mergeCell ref="G12:Q12"/>
    <mergeCell ref="R15:AJ15"/>
    <mergeCell ref="R14:AJ14"/>
    <mergeCell ref="C14:F15"/>
    <mergeCell ref="G15:Q15"/>
    <mergeCell ref="C18:F19"/>
    <mergeCell ref="B14:B15"/>
    <mergeCell ref="C22:F23"/>
    <mergeCell ref="B22:B23"/>
    <mergeCell ref="C20:F21"/>
    <mergeCell ref="AI1:AN2"/>
    <mergeCell ref="R12:AJ12"/>
    <mergeCell ref="R13:AJ13"/>
    <mergeCell ref="B18:B19"/>
    <mergeCell ref="R17:AJ17"/>
    <mergeCell ref="G17:Q17"/>
    <mergeCell ref="G19:Q19"/>
    <mergeCell ref="B16:B17"/>
    <mergeCell ref="R16:AJ16"/>
    <mergeCell ref="C16:F17"/>
    <mergeCell ref="C24:F25"/>
    <mergeCell ref="B29:F29"/>
    <mergeCell ref="B26:B27"/>
    <mergeCell ref="R25:AJ25"/>
    <mergeCell ref="R27:AJ27"/>
    <mergeCell ref="AE29:AJ29"/>
    <mergeCell ref="G27:Q27"/>
    <mergeCell ref="B24:B25"/>
    <mergeCell ref="G25:Q25"/>
    <mergeCell ref="C26:F27"/>
    <mergeCell ref="R26:AJ26"/>
    <mergeCell ref="B50:AR51"/>
    <mergeCell ref="AK44:AP45"/>
    <mergeCell ref="AE30:AJ30"/>
    <mergeCell ref="AK43:AP43"/>
    <mergeCell ref="AE28:AJ28"/>
    <mergeCell ref="E41:M41"/>
    <mergeCell ref="G43:J43"/>
    <mergeCell ref="B41:D41"/>
    <mergeCell ref="B43:B46"/>
    <mergeCell ref="C43:F43"/>
    <mergeCell ref="B42:D42"/>
    <mergeCell ref="E42:R42"/>
    <mergeCell ref="K43:N43"/>
    <mergeCell ref="AI48:AN49"/>
    <mergeCell ref="AO48:AQ49"/>
    <mergeCell ref="O43:R43"/>
  </mergeCells>
  <phoneticPr fontId="2"/>
  <printOptions horizontalCentered="1"/>
  <pageMargins left="0.39370078740157483" right="0.19685039370078741" top="0.39370078740157483" bottom="0.39370078740157483" header="0.39370078740157483" footer="0.39370078740157483"/>
  <pageSetup paperSize="9" scale="97" fitToHeight="0" orientation="portrait" cellComments="asDisplayed" verticalDpi="258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4">
    <pageSetUpPr fitToPage="1"/>
  </sheetPr>
  <dimension ref="A1:AP41"/>
  <sheetViews>
    <sheetView zoomScaleNormal="100" zoomScaleSheetLayoutView="70" workbookViewId="0"/>
  </sheetViews>
  <sheetFormatPr defaultColWidth="2.25" defaultRowHeight="13.5"/>
  <cols>
    <col min="1" max="34" width="2.25" style="126"/>
    <col min="35" max="42" width="2.625" style="126" customWidth="1"/>
    <col min="43" max="16384" width="2.25" style="126"/>
  </cols>
  <sheetData>
    <row r="1" spans="2:42" s="1" customFormat="1" ht="13.5" customHeight="1"/>
    <row r="2" spans="2:42" s="1" customFormat="1" ht="13.5" customHeight="1"/>
    <row r="3" spans="2:42" s="1" customFormat="1" ht="13.5" customHeight="1">
      <c r="B3" s="682" t="s">
        <v>0</v>
      </c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</row>
    <row r="4" spans="2:42" s="1" customFormat="1" ht="13.5" customHeight="1"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</row>
    <row r="5" spans="2:42" s="1" customFormat="1" ht="24.95" customHeight="1">
      <c r="B5" s="712" t="s">
        <v>20</v>
      </c>
      <c r="C5" s="713"/>
      <c r="D5" s="713"/>
      <c r="E5" s="713"/>
      <c r="F5" s="713"/>
      <c r="G5" s="713"/>
      <c r="H5" s="713"/>
      <c r="I5" s="713"/>
      <c r="J5" s="714"/>
      <c r="AE5" s="712" t="s">
        <v>1</v>
      </c>
      <c r="AF5" s="713"/>
      <c r="AG5" s="713"/>
      <c r="AH5" s="714"/>
      <c r="AI5" s="130" t="str">
        <f>LEFT(パラメータ!B5,1)</f>
        <v>A</v>
      </c>
      <c r="AJ5" s="131" t="str">
        <f>MID(パラメータ!B5,2,1)</f>
        <v>9</v>
      </c>
      <c r="AK5" s="131" t="str">
        <f>MID(パラメータ!B5,3,1)</f>
        <v>7</v>
      </c>
      <c r="AL5" s="131" t="str">
        <f>MID(パラメータ!B5,4,1)</f>
        <v>1</v>
      </c>
      <c r="AM5" s="131" t="str">
        <f>MID(パラメータ!B5,5,1)</f>
        <v>2</v>
      </c>
      <c r="AN5" s="132" t="str">
        <f>MID(パラメータ!B5,6,1)</f>
        <v>2</v>
      </c>
    </row>
    <row r="6" spans="2:42" s="1" customFormat="1" ht="24.95" customHeight="1">
      <c r="B6" s="2"/>
      <c r="C6" s="2"/>
      <c r="D6" s="2"/>
      <c r="E6" s="2"/>
      <c r="F6" s="2"/>
      <c r="G6" s="2"/>
      <c r="H6" s="2"/>
      <c r="I6" s="2"/>
      <c r="J6" s="2"/>
      <c r="AE6" s="712" t="s">
        <v>18</v>
      </c>
      <c r="AF6" s="713"/>
      <c r="AG6" s="713"/>
      <c r="AH6" s="714"/>
      <c r="AI6" s="717" t="str">
        <f>パラメータ!B3</f>
        <v>株式会社VTIジャパン</v>
      </c>
      <c r="AJ6" s="781"/>
      <c r="AK6" s="781"/>
      <c r="AL6" s="781"/>
      <c r="AM6" s="781"/>
      <c r="AN6" s="781"/>
      <c r="AO6" s="781"/>
      <c r="AP6" s="782"/>
    </row>
    <row r="7" spans="2:42" s="1" customFormat="1" ht="13.5" customHeight="1">
      <c r="AE7" s="722" t="s">
        <v>19</v>
      </c>
      <c r="AF7" s="788"/>
      <c r="AG7" s="788"/>
      <c r="AH7" s="789"/>
      <c r="AI7" s="722" t="str">
        <f>パラメータ!B4</f>
        <v>グエン ホン ソン</v>
      </c>
      <c r="AJ7" s="788"/>
      <c r="AK7" s="788"/>
      <c r="AL7" s="788"/>
      <c r="AM7" s="788"/>
      <c r="AN7" s="788"/>
      <c r="AO7" s="788"/>
      <c r="AP7" s="789"/>
    </row>
    <row r="8" spans="2:42" s="1" customFormat="1" ht="13.5" customHeight="1">
      <c r="AE8" s="790"/>
      <c r="AF8" s="791"/>
      <c r="AG8" s="791"/>
      <c r="AH8" s="792"/>
      <c r="AI8" s="790"/>
      <c r="AJ8" s="791"/>
      <c r="AK8" s="791"/>
      <c r="AL8" s="791"/>
      <c r="AM8" s="791"/>
      <c r="AN8" s="791"/>
      <c r="AO8" s="791"/>
      <c r="AP8" s="792"/>
    </row>
    <row r="9" spans="2:42" s="1" customFormat="1">
      <c r="AE9" s="3"/>
      <c r="AF9" s="3"/>
      <c r="AG9" s="3"/>
      <c r="AH9" s="3"/>
    </row>
    <row r="10" spans="2:42" s="1" customFormat="1">
      <c r="AE10" s="3"/>
      <c r="AF10" s="3"/>
      <c r="AG10" s="3"/>
      <c r="AH10" s="3"/>
    </row>
    <row r="11" spans="2:42" s="1" customFormat="1">
      <c r="AE11" s="3"/>
      <c r="AF11" s="3"/>
      <c r="AG11" s="3"/>
      <c r="AH11" s="3"/>
    </row>
    <row r="12" spans="2:42" s="4" customFormat="1" ht="11.25">
      <c r="B12" s="783" t="s">
        <v>28</v>
      </c>
      <c r="C12" s="779" t="s">
        <v>14</v>
      </c>
      <c r="D12" s="779"/>
      <c r="E12" s="779"/>
      <c r="F12" s="779"/>
      <c r="G12" s="779"/>
      <c r="H12" s="779"/>
      <c r="I12" s="785" t="s">
        <v>27</v>
      </c>
      <c r="J12" s="786"/>
      <c r="K12" s="786"/>
      <c r="L12" s="786"/>
      <c r="M12" s="786"/>
      <c r="N12" s="786"/>
      <c r="O12" s="786"/>
      <c r="P12" s="786"/>
      <c r="Q12" s="786"/>
      <c r="R12" s="786"/>
      <c r="S12" s="787"/>
      <c r="T12" s="785" t="s">
        <v>16</v>
      </c>
      <c r="U12" s="786"/>
      <c r="V12" s="786"/>
      <c r="W12" s="786"/>
      <c r="X12" s="786"/>
      <c r="Y12" s="786"/>
      <c r="Z12" s="786"/>
      <c r="AA12" s="786"/>
      <c r="AB12" s="786"/>
      <c r="AC12" s="786"/>
      <c r="AD12" s="786"/>
      <c r="AE12" s="786"/>
      <c r="AF12" s="786"/>
      <c r="AG12" s="786"/>
      <c r="AH12" s="786"/>
      <c r="AI12" s="785" t="s">
        <v>2</v>
      </c>
      <c r="AJ12" s="786"/>
      <c r="AK12" s="786"/>
      <c r="AL12" s="786"/>
      <c r="AM12" s="786"/>
      <c r="AN12" s="786"/>
      <c r="AO12" s="786"/>
      <c r="AP12" s="787"/>
    </row>
    <row r="13" spans="2:42" s="4" customFormat="1" ht="11.25">
      <c r="B13" s="784"/>
      <c r="C13" s="780" t="s">
        <v>120</v>
      </c>
      <c r="D13" s="780"/>
      <c r="E13" s="780"/>
      <c r="F13" s="780"/>
      <c r="G13" s="780"/>
      <c r="H13" s="780"/>
      <c r="I13" s="796" t="s">
        <v>26</v>
      </c>
      <c r="J13" s="797"/>
      <c r="K13" s="797"/>
      <c r="L13" s="797"/>
      <c r="M13" s="797"/>
      <c r="N13" s="797"/>
      <c r="O13" s="797"/>
      <c r="P13" s="797"/>
      <c r="Q13" s="797"/>
      <c r="R13" s="797"/>
      <c r="S13" s="798"/>
      <c r="T13" s="785" t="s">
        <v>17</v>
      </c>
      <c r="U13" s="799"/>
      <c r="V13" s="799"/>
      <c r="W13" s="799"/>
      <c r="X13" s="799"/>
      <c r="Y13" s="799"/>
      <c r="Z13" s="799"/>
      <c r="AA13" s="799"/>
      <c r="AB13" s="799"/>
      <c r="AC13" s="799"/>
      <c r="AD13" s="799"/>
      <c r="AE13" s="799"/>
      <c r="AF13" s="799"/>
      <c r="AG13" s="799"/>
      <c r="AH13" s="799"/>
      <c r="AI13" s="793"/>
      <c r="AJ13" s="794"/>
      <c r="AK13" s="794"/>
      <c r="AL13" s="794"/>
      <c r="AM13" s="794"/>
      <c r="AN13" s="794"/>
      <c r="AO13" s="794"/>
      <c r="AP13" s="795"/>
    </row>
    <row r="14" spans="2:42" s="1" customFormat="1" ht="24.95" customHeight="1">
      <c r="B14" s="800">
        <v>1</v>
      </c>
      <c r="C14" s="804" t="str">
        <f>IF(I14&lt;&gt;"",パラメータ!$B$7,"")</f>
        <v/>
      </c>
      <c r="D14" s="804"/>
      <c r="E14" s="804"/>
      <c r="F14" s="804"/>
      <c r="G14" s="804"/>
      <c r="H14" s="804"/>
      <c r="I14" s="133" t="str">
        <f>IF(請求内容入力シート!$C$11&lt;&gt;"",LEFT(RIGHT("0000000000"&amp;請求内容入力シート!$C$11,10),1),"")</f>
        <v/>
      </c>
      <c r="J14" s="134" t="str">
        <f>IF(請求内容入力シート!$C$11&lt;&gt;"",LEFT(RIGHT("0000000000"&amp;請求内容入力シート!$C$11,9),1),"")</f>
        <v/>
      </c>
      <c r="K14" s="134" t="str">
        <f>IF(請求内容入力シート!$C$11&lt;&gt;"",LEFT(RIGHT("0000000000"&amp;請求内容入力シート!$C$11,8),1),"")</f>
        <v/>
      </c>
      <c r="L14" s="135" t="str">
        <f>IF(請求内容入力シート!$C$11&lt;&gt;"",LEFT(RIGHT("0000000000"&amp;請求内容入力シート!$C$11,7),1),"")</f>
        <v/>
      </c>
      <c r="M14" s="128" t="s">
        <v>117</v>
      </c>
      <c r="N14" s="133" t="str">
        <f>IF(請求内容入力シート!$C$11&lt;&gt;"",LEFT(RIGHT("0000000000"&amp;請求内容入力シート!$C$11,6),1),"")</f>
        <v/>
      </c>
      <c r="O14" s="134" t="str">
        <f>IF(請求内容入力シート!$C$11&lt;&gt;"",LEFT(RIGHT("0000000000"&amp;請求内容入力シート!$C$11,5),1),"")</f>
        <v/>
      </c>
      <c r="P14" s="134" t="str">
        <f>IF(請求内容入力シート!$C$11&lt;&gt;"",LEFT(RIGHT("0000000000"&amp;請求内容入力シート!$C$11,4),1),"")</f>
        <v/>
      </c>
      <c r="Q14" s="134" t="str">
        <f>IF(請求内容入力シート!$C$11&lt;&gt;"",LEFT(RIGHT("0000000000"&amp;請求内容入力シート!$C$11,3),1),"")</f>
        <v/>
      </c>
      <c r="R14" s="134" t="str">
        <f>IF(請求内容入力シート!$C$11&lt;&gt;"",LEFT(RIGHT("0000000000"&amp;請求内容入力シート!$C$11,2),1),"")</f>
        <v/>
      </c>
      <c r="S14" s="135" t="str">
        <f>IF(請求内容入力シート!$C$11&lt;&gt;"",LEFT(RIGHT("0000000000"&amp;請求内容入力シート!$C$11,1),1),"")</f>
        <v/>
      </c>
      <c r="T14" s="802" t="str">
        <f>IF(請求内容入力シート!$D$11&lt;&gt;"",請求内容入力シート!$D$11,"")</f>
        <v/>
      </c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170"/>
      <c r="AJ14" s="171"/>
      <c r="AK14" s="170"/>
      <c r="AL14" s="172"/>
      <c r="AM14" s="171"/>
      <c r="AN14" s="170"/>
      <c r="AO14" s="172"/>
      <c r="AP14" s="171"/>
    </row>
    <row r="15" spans="2:42" s="1" customFormat="1" ht="24.95" customHeight="1">
      <c r="B15" s="801"/>
      <c r="C15" s="805" t="str">
        <f>IF(I14&lt;&gt;"",パラメータ!$B$8&amp;"11","")</f>
        <v/>
      </c>
      <c r="D15" s="805"/>
      <c r="E15" s="805"/>
      <c r="F15" s="805"/>
      <c r="G15" s="805"/>
      <c r="H15" s="805"/>
      <c r="I15" s="806" t="s">
        <v>131</v>
      </c>
      <c r="J15" s="807"/>
      <c r="K15" s="807"/>
      <c r="L15" s="807"/>
      <c r="M15" s="807"/>
      <c r="N15" s="807"/>
      <c r="O15" s="807" t="s">
        <v>132</v>
      </c>
      <c r="P15" s="807"/>
      <c r="Q15" s="807"/>
      <c r="R15" s="807"/>
      <c r="S15" s="808"/>
      <c r="T15" s="706" t="str">
        <f>IF(請求内容入力シート!$E$11&lt;&gt;"",請求内容入力シート!$E$11,"")</f>
        <v/>
      </c>
      <c r="U15" s="707"/>
      <c r="V15" s="707"/>
      <c r="W15" s="707"/>
      <c r="X15" s="707"/>
      <c r="Y15" s="707"/>
      <c r="Z15" s="707"/>
      <c r="AA15" s="707"/>
      <c r="AB15" s="707"/>
      <c r="AC15" s="707"/>
      <c r="AD15" s="707"/>
      <c r="AE15" s="707"/>
      <c r="AF15" s="707"/>
      <c r="AG15" s="707"/>
      <c r="AH15" s="707"/>
      <c r="AI15" s="146" t="str">
        <f>IF(請求内容入力シート!$F$11&lt;&gt;"",LEFT(RIGHT("        "&amp;請求内容入力シート!$F$11,8),1),"")</f>
        <v/>
      </c>
      <c r="AJ15" s="145" t="str">
        <f>IF(請求内容入力シート!$F$11&lt;&gt;"",LEFT(RIGHT("        "&amp;請求内容入力シート!$F$11,7),1),"")</f>
        <v/>
      </c>
      <c r="AK15" s="263" t="str">
        <f>IF(請求内容入力シート!$F$11&lt;&gt;"",LEFT(RIGHT("        "&amp;請求内容入力シート!$F$11,6),1),"")</f>
        <v/>
      </c>
      <c r="AL15" s="264" t="str">
        <f>IF(請求内容入力シート!$F$11&lt;&gt;"",LEFT(RIGHT("        "&amp;請求内容入力シート!$F$11,5),1),"")</f>
        <v/>
      </c>
      <c r="AM15" s="265" t="str">
        <f>IF(請求内容入力シート!$F$11&lt;&gt;"",LEFT(RIGHT("        "&amp;請求内容入力シート!$F$11,4),1),"")</f>
        <v/>
      </c>
      <c r="AN15" s="263" t="str">
        <f>IF(請求内容入力シート!$F$11&lt;&gt;"",LEFT(RIGHT("        "&amp;請求内容入力シート!$F$11,3),1),"")</f>
        <v/>
      </c>
      <c r="AO15" s="264" t="str">
        <f>IF(請求内容入力シート!$F$11&lt;&gt;"",LEFT(RIGHT("        "&amp;請求内容入力シート!$F$11,2),1),"")</f>
        <v/>
      </c>
      <c r="AP15" s="265" t="str">
        <f>IF(請求内容入力シート!$F$11&lt;&gt;"",LEFT(RIGHT("        "&amp;請求内容入力シート!$F$11,1),1),"")</f>
        <v/>
      </c>
    </row>
    <row r="16" spans="2:42" s="1" customFormat="1" ht="24.95" customHeight="1" thickBot="1">
      <c r="B16" s="5"/>
      <c r="C16" s="5"/>
      <c r="D16" s="5"/>
      <c r="E16" s="5"/>
      <c r="F16" s="810" t="s">
        <v>22</v>
      </c>
      <c r="G16" s="810"/>
      <c r="H16" s="810"/>
      <c r="AD16" s="722" t="s">
        <v>5</v>
      </c>
      <c r="AE16" s="686"/>
      <c r="AF16" s="686"/>
      <c r="AG16" s="686"/>
      <c r="AH16" s="686"/>
      <c r="AI16" s="288" t="str">
        <f>IF(請求内容入力シート!$G$11&lt;&gt;"",LEFT(RIGHT("        "&amp;請求内容入力シート!$G$11,8),1),"")</f>
        <v/>
      </c>
      <c r="AJ16" s="289" t="str">
        <f>IF(請求内容入力シート!$G$11&lt;&gt;"",LEFT(RIGHT("        "&amp;請求内容入力シート!$G$11,7),1),"")</f>
        <v/>
      </c>
      <c r="AK16" s="288" t="str">
        <f>IF(請求内容入力シート!$G$11&lt;&gt;"",LEFT(RIGHT("        "&amp;請求内容入力シート!$G$11,6),1),"")</f>
        <v/>
      </c>
      <c r="AL16" s="290" t="str">
        <f>IF(請求内容入力シート!$G$11&lt;&gt;"",LEFT(RIGHT("        "&amp;請求内容入力シート!$G$11,5),1),"")</f>
        <v/>
      </c>
      <c r="AM16" s="289" t="str">
        <f>IF(請求内容入力シート!$G$11&lt;&gt;"",LEFT(RIGHT("        "&amp;請求内容入力シート!$G$11,4),1),"")</f>
        <v/>
      </c>
      <c r="AN16" s="288" t="str">
        <f>IF(請求内容入力シート!$G$11&lt;&gt;"",LEFT(RIGHT("        "&amp;請求内容入力シート!$G$11,3),1),"")</f>
        <v/>
      </c>
      <c r="AO16" s="290" t="str">
        <f>IF(請求内容入力シート!$G$11&lt;&gt;"",LEFT(RIGHT("        "&amp;請求内容入力シート!$G$11,2),1),"")</f>
        <v/>
      </c>
      <c r="AP16" s="289" t="str">
        <f>IF(請求内容入力シート!$G$11&lt;&gt;"",LEFT(RIGHT("        "&amp;請求内容入力シート!$G$11,1),1),"")</f>
        <v/>
      </c>
    </row>
    <row r="17" spans="1:42" s="1" customFormat="1" ht="24.95" customHeight="1" thickBot="1">
      <c r="A17" s="1" t="s">
        <v>3</v>
      </c>
      <c r="B17" s="811" t="s">
        <v>21</v>
      </c>
      <c r="C17" s="812"/>
      <c r="D17" s="812"/>
      <c r="E17" s="812"/>
      <c r="F17" s="180" t="str">
        <f>IF(請求内容入力シート!$C$11&lt;&gt;"",LEFT(RIGHT("00000000"&amp;請求内容入力シート!$O$13,8),1),"")</f>
        <v/>
      </c>
      <c r="G17" s="182" t="str">
        <f>IF(請求内容入力シート!$C$11&lt;&gt;"",LEFT(RIGHT("00000000"&amp;請求内容入力シート!$O$13,7),1),"")</f>
        <v/>
      </c>
      <c r="H17" s="182" t="str">
        <f>IF(請求内容入力シート!$C$11&lt;&gt;"",LEFT(RIGHT("00000000"&amp;請求内容入力シート!$O$13,6),1),"")</f>
        <v/>
      </c>
      <c r="I17" s="181" t="str">
        <f>IF(請求内容入力シート!$C$11&lt;&gt;"",LEFT(RIGHT("00000000"&amp;請求内容入力シート!$O$13,5),1),"")</f>
        <v/>
      </c>
      <c r="J17" s="6" t="s">
        <v>23</v>
      </c>
      <c r="K17" s="181" t="str">
        <f>IF(請求内容入力シート!$C$11&lt;&gt;"",LEFT(RIGHT("00000000"&amp;請求内容入力シート!$O$13,4),1),"")</f>
        <v/>
      </c>
      <c r="L17" s="183" t="str">
        <f>IF(請求内容入力シート!$C$11&lt;&gt;"",LEFT(RIGHT("00000000"&amp;請求内容入力シート!$O$13,3),1),"")</f>
        <v/>
      </c>
      <c r="M17" s="6" t="s">
        <v>24</v>
      </c>
      <c r="N17" s="181" t="str">
        <f>IF(請求内容入力シート!$C$11&lt;&gt;"",LEFT(RIGHT("00000000"&amp;請求内容入力シート!$O$13,2),1),"")</f>
        <v/>
      </c>
      <c r="O17" s="183" t="str">
        <f>IF(請求内容入力シート!$C$11&lt;&gt;"",LEFT(RIGHT("00000000"&amp;請求内容入力シート!$O$13,1),1),"")</f>
        <v/>
      </c>
      <c r="P17" s="6" t="s">
        <v>25</v>
      </c>
      <c r="Q17" s="6" t="s">
        <v>29</v>
      </c>
      <c r="R17" s="180" t="str">
        <f>IF(請求内容入力シート!$C$11&lt;&gt;"",LEFT(RIGHT("00000000"&amp;請求内容入力シート!$Q$13,8),1),"")</f>
        <v/>
      </c>
      <c r="S17" s="182" t="str">
        <f>IF(請求内容入力シート!$C$11&lt;&gt;"",LEFT(RIGHT("00000000"&amp;請求内容入力シート!$Q$13,7),1),"")</f>
        <v/>
      </c>
      <c r="T17" s="182" t="str">
        <f>IF(請求内容入力シート!$C$11&lt;&gt;"",LEFT(RIGHT("00000000"&amp;請求内容入力シート!$Q$13,6),1),"")</f>
        <v/>
      </c>
      <c r="U17" s="181" t="str">
        <f>IF(請求内容入力シート!$C$11&lt;&gt;"",LEFT(RIGHT("00000000"&amp;請求内容入力シート!$Q$13,5),1),"")</f>
        <v/>
      </c>
      <c r="V17" s="6" t="s">
        <v>23</v>
      </c>
      <c r="W17" s="181" t="str">
        <f>IF(請求内容入力シート!$C$11&lt;&gt;"",LEFT(RIGHT("00000000"&amp;請求内容入力シート!$Q$13,4),1),"")</f>
        <v/>
      </c>
      <c r="X17" s="183" t="str">
        <f>IF(請求内容入力シート!$C$11&lt;&gt;"",LEFT(RIGHT("00000000"&amp;請求内容入力シート!$Q$13,3),1),"")</f>
        <v/>
      </c>
      <c r="Y17" s="6" t="s">
        <v>24</v>
      </c>
      <c r="Z17" s="181" t="str">
        <f>IF(請求内容入力シート!$C$11&lt;&gt;"",LEFT(RIGHT("00000000"&amp;請求内容入力シート!$Q$13,2),1),"")</f>
        <v/>
      </c>
      <c r="AA17" s="183" t="str">
        <f>IF(請求内容入力シート!$C$11&lt;&gt;"",LEFT(RIGHT("00000000"&amp;請求内容入力シート!$Q$13,1),1),"")</f>
        <v/>
      </c>
      <c r="AB17" s="6" t="s">
        <v>118</v>
      </c>
      <c r="AC17" s="7"/>
      <c r="AD17" s="813" t="s">
        <v>6</v>
      </c>
      <c r="AE17" s="814"/>
      <c r="AF17" s="814"/>
      <c r="AG17" s="814"/>
      <c r="AH17" s="814"/>
      <c r="AI17" s="176" t="str">
        <f>IF(請求内容入力シート!$H$11&lt;&gt;"",LEFT(RIGHT("        "&amp;請求内容入力シート!$H$11,8),1),"")</f>
        <v xml:space="preserve"> </v>
      </c>
      <c r="AJ17" s="177" t="str">
        <f>IF(請求内容入力シート!$H$11&lt;&gt;"",LEFT(RIGHT("        "&amp;請求内容入力シート!$H$11,7),1),"")</f>
        <v xml:space="preserve"> </v>
      </c>
      <c r="AK17" s="176" t="str">
        <f>IF(請求内容入力シート!$H$11&lt;&gt;"",LEFT(RIGHT("        "&amp;請求内容入力シート!$H$11,6),1),"")</f>
        <v xml:space="preserve"> </v>
      </c>
      <c r="AL17" s="178" t="str">
        <f>IF(請求内容入力シート!$H$11&lt;&gt;"",LEFT(RIGHT("        "&amp;請求内容入力シート!$H$11,5),1),"")</f>
        <v xml:space="preserve"> </v>
      </c>
      <c r="AM17" s="177" t="str">
        <f>IF(請求内容入力シート!$H$11&lt;&gt;"",LEFT(RIGHT("        "&amp;請求内容入力シート!$H$11,4),1),"")</f>
        <v xml:space="preserve"> </v>
      </c>
      <c r="AN17" s="176" t="str">
        <f>IF(請求内容入力シート!$H$11&lt;&gt;"",LEFT(RIGHT("        "&amp;請求内容入力シート!$H$11,3),1),"")</f>
        <v xml:space="preserve"> </v>
      </c>
      <c r="AO17" s="178" t="str">
        <f>IF(請求内容入力シート!$H$11&lt;&gt;"",LEFT(RIGHT("        "&amp;請求内容入力シート!$H$11,2),1),"")</f>
        <v xml:space="preserve"> </v>
      </c>
      <c r="AP17" s="179" t="str">
        <f>IF(請求内容入力シート!$H$11&lt;&gt;"",LEFT(RIGHT("        "&amp;請求内容入力シート!$H$11,1),1),"")</f>
        <v>0</v>
      </c>
    </row>
    <row r="18" spans="1:42" s="1" customFormat="1" ht="50.1" customHeight="1">
      <c r="AE18" s="3"/>
      <c r="AF18" s="3"/>
      <c r="AG18" s="3"/>
      <c r="AH18" s="3"/>
    </row>
    <row r="19" spans="1:42" s="4" customFormat="1" ht="11.25">
      <c r="B19" s="783" t="s">
        <v>28</v>
      </c>
      <c r="C19" s="779" t="s">
        <v>14</v>
      </c>
      <c r="D19" s="779"/>
      <c r="E19" s="779"/>
      <c r="F19" s="779"/>
      <c r="G19" s="779"/>
      <c r="H19" s="779"/>
      <c r="I19" s="785" t="s">
        <v>27</v>
      </c>
      <c r="J19" s="786"/>
      <c r="K19" s="786"/>
      <c r="L19" s="786"/>
      <c r="M19" s="786"/>
      <c r="N19" s="786"/>
      <c r="O19" s="786"/>
      <c r="P19" s="786"/>
      <c r="Q19" s="786"/>
      <c r="R19" s="786"/>
      <c r="S19" s="787"/>
      <c r="T19" s="785" t="s">
        <v>16</v>
      </c>
      <c r="U19" s="786"/>
      <c r="V19" s="786"/>
      <c r="W19" s="786"/>
      <c r="X19" s="786"/>
      <c r="Y19" s="786"/>
      <c r="Z19" s="786"/>
      <c r="AA19" s="786"/>
      <c r="AB19" s="786"/>
      <c r="AC19" s="786"/>
      <c r="AD19" s="786"/>
      <c r="AE19" s="786"/>
      <c r="AF19" s="786"/>
      <c r="AG19" s="786"/>
      <c r="AH19" s="786"/>
      <c r="AI19" s="785" t="s">
        <v>2</v>
      </c>
      <c r="AJ19" s="786"/>
      <c r="AK19" s="786"/>
      <c r="AL19" s="786"/>
      <c r="AM19" s="786"/>
      <c r="AN19" s="786"/>
      <c r="AO19" s="786"/>
      <c r="AP19" s="787"/>
    </row>
    <row r="20" spans="1:42" s="4" customFormat="1" ht="11.25">
      <c r="B20" s="784"/>
      <c r="C20" s="780" t="s">
        <v>120</v>
      </c>
      <c r="D20" s="780"/>
      <c r="E20" s="780"/>
      <c r="F20" s="780"/>
      <c r="G20" s="780"/>
      <c r="H20" s="780"/>
      <c r="I20" s="785" t="s">
        <v>26</v>
      </c>
      <c r="J20" s="799"/>
      <c r="K20" s="799"/>
      <c r="L20" s="799"/>
      <c r="M20" s="799"/>
      <c r="N20" s="799"/>
      <c r="O20" s="799"/>
      <c r="P20" s="799"/>
      <c r="Q20" s="799"/>
      <c r="R20" s="799"/>
      <c r="S20" s="809"/>
      <c r="T20" s="785" t="s">
        <v>17</v>
      </c>
      <c r="U20" s="799"/>
      <c r="V20" s="799"/>
      <c r="W20" s="799"/>
      <c r="X20" s="799"/>
      <c r="Y20" s="799"/>
      <c r="Z20" s="799"/>
      <c r="AA20" s="799"/>
      <c r="AB20" s="799"/>
      <c r="AC20" s="799"/>
      <c r="AD20" s="799"/>
      <c r="AE20" s="799"/>
      <c r="AF20" s="799"/>
      <c r="AG20" s="799"/>
      <c r="AH20" s="799"/>
      <c r="AI20" s="793"/>
      <c r="AJ20" s="794"/>
      <c r="AK20" s="794"/>
      <c r="AL20" s="794"/>
      <c r="AM20" s="794"/>
      <c r="AN20" s="794"/>
      <c r="AO20" s="794"/>
      <c r="AP20" s="795"/>
    </row>
    <row r="21" spans="1:42" s="1" customFormat="1" ht="24.95" customHeight="1">
      <c r="B21" s="800">
        <v>2</v>
      </c>
      <c r="C21" s="804" t="str">
        <f>IF(I21&lt;&gt;"",パラメータ!$B$7,"")</f>
        <v/>
      </c>
      <c r="D21" s="804"/>
      <c r="E21" s="804"/>
      <c r="F21" s="804"/>
      <c r="G21" s="804"/>
      <c r="H21" s="804"/>
      <c r="I21" s="136" t="str">
        <f>IF(請求内容入力シート!$C$12&lt;&gt;"",LEFT(RIGHT("0000000000"&amp;請求内容入力シート!$C$12,10),1),"")</f>
        <v/>
      </c>
      <c r="J21" s="137" t="str">
        <f>IF(請求内容入力シート!$C$12&lt;&gt;"",LEFT(RIGHT("0000000000"&amp;請求内容入力シート!$C$12,9),1),"")</f>
        <v/>
      </c>
      <c r="K21" s="137" t="str">
        <f>IF(請求内容入力シート!$C$12&lt;&gt;"",LEFT(RIGHT("0000000000"&amp;請求内容入力シート!$C$12,8),1),"")</f>
        <v/>
      </c>
      <c r="L21" s="138" t="str">
        <f>IF(請求内容入力シート!$C$12&lt;&gt;"",LEFT(RIGHT("0000000000"&amp;請求内容入力シート!$C$12,7),1),"")</f>
        <v/>
      </c>
      <c r="M21" s="127" t="s">
        <v>117</v>
      </c>
      <c r="N21" s="136" t="str">
        <f>IF(請求内容入力シート!$C$12&lt;&gt;"",LEFT(RIGHT("0000000000"&amp;請求内容入力シート!$C$12,6),1),"")</f>
        <v/>
      </c>
      <c r="O21" s="137" t="str">
        <f>IF(請求内容入力シート!$C$12&lt;&gt;"",LEFT(RIGHT("0000000000"&amp;請求内容入力シート!$C$12,5),1),"")</f>
        <v/>
      </c>
      <c r="P21" s="137" t="str">
        <f>IF(請求内容入力シート!$C$12&lt;&gt;"",LEFT(RIGHT("0000000000"&amp;請求内容入力シート!$C$12,4),1),"")</f>
        <v/>
      </c>
      <c r="Q21" s="137" t="str">
        <f>IF(請求内容入力シート!$C$12&lt;&gt;"",LEFT(RIGHT("0000000000"&amp;請求内容入力シート!$C$12,3),1),"")</f>
        <v/>
      </c>
      <c r="R21" s="137" t="str">
        <f>IF(請求内容入力シート!$C$12&lt;&gt;"",LEFT(RIGHT("0000000000"&amp;請求内容入力シート!$C$12,2),1),"")</f>
        <v/>
      </c>
      <c r="S21" s="138" t="str">
        <f>IF(請求内容入力シート!$C$12&lt;&gt;"",LEFT(RIGHT("0000000000"&amp;請求内容入力シート!$C$12,1),1),"")</f>
        <v/>
      </c>
      <c r="T21" s="802" t="str">
        <f>IF(請求内容入力シート!$D$12&lt;&gt;"",請求内容入力シート!$D$12,"")</f>
        <v/>
      </c>
      <c r="U21" s="803"/>
      <c r="V21" s="803"/>
      <c r="W21" s="803"/>
      <c r="X21" s="803"/>
      <c r="Y21" s="803"/>
      <c r="Z21" s="803"/>
      <c r="AA21" s="803"/>
      <c r="AB21" s="803"/>
      <c r="AC21" s="803"/>
      <c r="AD21" s="803"/>
      <c r="AE21" s="803"/>
      <c r="AF21" s="803"/>
      <c r="AG21" s="803"/>
      <c r="AH21" s="803"/>
      <c r="AI21" s="170"/>
      <c r="AJ21" s="171"/>
      <c r="AK21" s="170"/>
      <c r="AL21" s="172"/>
      <c r="AM21" s="171"/>
      <c r="AN21" s="170"/>
      <c r="AO21" s="172"/>
      <c r="AP21" s="171"/>
    </row>
    <row r="22" spans="1:42" s="1" customFormat="1" ht="24.95" customHeight="1">
      <c r="B22" s="801"/>
      <c r="C22" s="805" t="str">
        <f>IF(I21&lt;&gt;"",パラメータ!$B$8&amp;"12","")</f>
        <v/>
      </c>
      <c r="D22" s="805"/>
      <c r="E22" s="805"/>
      <c r="F22" s="805"/>
      <c r="G22" s="805"/>
      <c r="H22" s="805"/>
      <c r="I22" s="806" t="s">
        <v>133</v>
      </c>
      <c r="J22" s="807"/>
      <c r="K22" s="807"/>
      <c r="L22" s="807"/>
      <c r="M22" s="807"/>
      <c r="N22" s="807"/>
      <c r="O22" s="807" t="s">
        <v>132</v>
      </c>
      <c r="P22" s="807"/>
      <c r="Q22" s="807"/>
      <c r="R22" s="807"/>
      <c r="S22" s="808"/>
      <c r="T22" s="706" t="str">
        <f>IF(請求内容入力シート!$E$12&lt;&gt;"",請求内容入力シート!$E$12,"")</f>
        <v/>
      </c>
      <c r="U22" s="707"/>
      <c r="V22" s="707"/>
      <c r="W22" s="707"/>
      <c r="X22" s="707"/>
      <c r="Y22" s="707"/>
      <c r="Z22" s="707"/>
      <c r="AA22" s="707"/>
      <c r="AB22" s="707"/>
      <c r="AC22" s="707"/>
      <c r="AD22" s="707"/>
      <c r="AE22" s="707"/>
      <c r="AF22" s="707"/>
      <c r="AG22" s="707"/>
      <c r="AH22" s="707"/>
      <c r="AI22" s="146" t="str">
        <f>IF(請求内容入力シート!$F$12&lt;&gt;"",LEFT(RIGHT("        "&amp;請求内容入力シート!$F$12,8),1),"")</f>
        <v/>
      </c>
      <c r="AJ22" s="145" t="str">
        <f>IF(請求内容入力シート!$F$12&lt;&gt;"",LEFT(RIGHT("        "&amp;請求内容入力シート!$F$12,7),1),"")</f>
        <v/>
      </c>
      <c r="AK22" s="146" t="str">
        <f>IF(請求内容入力シート!$F$12&lt;&gt;"",LEFT(RIGHT("        "&amp;請求内容入力シート!$F$12,6),1),"")</f>
        <v/>
      </c>
      <c r="AL22" s="147" t="str">
        <f>IF(請求内容入力シート!$F$12&lt;&gt;"",LEFT(RIGHT("        "&amp;請求内容入力シート!$F$12,5),1),"")</f>
        <v/>
      </c>
      <c r="AM22" s="145" t="str">
        <f>IF(請求内容入力シート!$F$12&lt;&gt;"",LEFT(RIGHT("        "&amp;請求内容入力シート!$F$12,4),1),"")</f>
        <v/>
      </c>
      <c r="AN22" s="146" t="str">
        <f>IF(請求内容入力シート!$F$12&lt;&gt;"",LEFT(RIGHT("        "&amp;請求内容入力シート!$F$12,3),1),"")</f>
        <v/>
      </c>
      <c r="AO22" s="147" t="str">
        <f>IF(請求内容入力シート!$F$12&lt;&gt;"",LEFT(RIGHT("        "&amp;請求内容入力シート!$F$12,2),1),"")</f>
        <v/>
      </c>
      <c r="AP22" s="145" t="str">
        <f>IF(請求内容入力シート!$F$12&lt;&gt;"",LEFT(RIGHT("        "&amp;請求内容入力シート!$F$12,1),1),"")</f>
        <v/>
      </c>
    </row>
    <row r="23" spans="1:42" s="1" customFormat="1" ht="24.95" customHeight="1" thickBot="1">
      <c r="B23" s="5"/>
      <c r="C23" s="5"/>
      <c r="D23" s="5"/>
      <c r="E23" s="5"/>
      <c r="F23" s="810" t="s">
        <v>22</v>
      </c>
      <c r="G23" s="810"/>
      <c r="H23" s="810"/>
      <c r="AD23" s="722" t="s">
        <v>5</v>
      </c>
      <c r="AE23" s="686"/>
      <c r="AF23" s="686"/>
      <c r="AG23" s="686"/>
      <c r="AH23" s="686"/>
      <c r="AI23" s="146" t="str">
        <f>IF(請求内容入力シート!$G$12&lt;&gt;"",LEFT(RIGHT("        "&amp;請求内容入力シート!$G$12,8),1),"")</f>
        <v/>
      </c>
      <c r="AJ23" s="145" t="str">
        <f>IF(請求内容入力シート!$G$12&lt;&gt;"",LEFT(RIGHT("        "&amp;請求内容入力シート!$G$12,7),1),"")</f>
        <v/>
      </c>
      <c r="AK23" s="146" t="str">
        <f>IF(請求内容入力シート!$G$12&lt;&gt;"",LEFT(RIGHT("        "&amp;請求内容入力シート!$G$12,6),1),"")</f>
        <v/>
      </c>
      <c r="AL23" s="147" t="str">
        <f>IF(請求内容入力シート!$G$12&lt;&gt;"",LEFT(RIGHT("        "&amp;請求内容入力シート!$G$12,5),1),"")</f>
        <v/>
      </c>
      <c r="AM23" s="145" t="str">
        <f>IF(請求内容入力シート!$G$12&lt;&gt;"",LEFT(RIGHT("        "&amp;請求内容入力シート!$G$12,4),1),"")</f>
        <v/>
      </c>
      <c r="AN23" s="146" t="str">
        <f>IF(請求内容入力シート!$G$12&lt;&gt;"",LEFT(RIGHT("        "&amp;請求内容入力シート!$G$12,3),1),"")</f>
        <v/>
      </c>
      <c r="AO23" s="147" t="str">
        <f>IF(請求内容入力シート!$G$12&lt;&gt;"",LEFT(RIGHT("        "&amp;請求内容入力シート!$G$12,2),1),"")</f>
        <v/>
      </c>
      <c r="AP23" s="145" t="str">
        <f>IF(請求内容入力シート!$G$12&lt;&gt;"",LEFT(RIGHT("        "&amp;請求内容入力シート!$G$12,1),1),"")</f>
        <v/>
      </c>
    </row>
    <row r="24" spans="1:42" s="1" customFormat="1" ht="24.95" customHeight="1" thickBot="1">
      <c r="A24" s="1" t="s">
        <v>3</v>
      </c>
      <c r="B24" s="811" t="s">
        <v>21</v>
      </c>
      <c r="C24" s="812"/>
      <c r="D24" s="812"/>
      <c r="E24" s="812"/>
      <c r="F24" s="180" t="str">
        <f>IF(請求内容入力シート!$C$12&lt;&gt;"",LEFT(RIGHT("00000000"&amp;請求内容入力シート!$O$13,8),1),"")</f>
        <v/>
      </c>
      <c r="G24" s="182" t="str">
        <f>IF(請求内容入力シート!$C$12&lt;&gt;"",LEFT(RIGHT("00000000"&amp;請求内容入力シート!$O$13,7),1),"")</f>
        <v/>
      </c>
      <c r="H24" s="182" t="str">
        <f>IF(請求内容入力シート!$C$12&lt;&gt;"",LEFT(RIGHT("00000000"&amp;請求内容入力シート!$O$13,6),1),"")</f>
        <v/>
      </c>
      <c r="I24" s="181" t="str">
        <f>IF(請求内容入力シート!$C$12&lt;&gt;"",LEFT(RIGHT("00000000"&amp;請求内容入力シート!$O$13,5),1),"")</f>
        <v/>
      </c>
      <c r="J24" s="6" t="s">
        <v>23</v>
      </c>
      <c r="K24" s="181" t="str">
        <f>IF(請求内容入力シート!$C$12&lt;&gt;"",LEFT(RIGHT("00000000"&amp;請求内容入力シート!$O$13,4),1),"")</f>
        <v/>
      </c>
      <c r="L24" s="183" t="str">
        <f>IF(請求内容入力シート!$C$12&lt;&gt;"",LEFT(RIGHT("00000000"&amp;請求内容入力シート!$O$13,3),1),"")</f>
        <v/>
      </c>
      <c r="M24" s="6" t="s">
        <v>24</v>
      </c>
      <c r="N24" s="181" t="str">
        <f>IF(請求内容入力シート!$C$12&lt;&gt;"",LEFT(RIGHT("00000000"&amp;請求内容入力シート!$O$13,2),1),"")</f>
        <v/>
      </c>
      <c r="O24" s="183" t="str">
        <f>IF(請求内容入力シート!$C$12&lt;&gt;"",LEFT(RIGHT("00000000"&amp;請求内容入力シート!$O$13,1),1),"")</f>
        <v/>
      </c>
      <c r="P24" s="6" t="s">
        <v>25</v>
      </c>
      <c r="Q24" s="6" t="s">
        <v>29</v>
      </c>
      <c r="R24" s="180" t="str">
        <f>IF(請求内容入力シート!$C$12&lt;&gt;"",LEFT(RIGHT("00000000"&amp;請求内容入力シート!$Q$13,8),1),"")</f>
        <v/>
      </c>
      <c r="S24" s="182" t="str">
        <f>IF(請求内容入力シート!$C$12&lt;&gt;"",LEFT(RIGHT("00000000"&amp;請求内容入力シート!$Q$13,7),1),"")</f>
        <v/>
      </c>
      <c r="T24" s="182" t="str">
        <f>IF(請求内容入力シート!$C$12&lt;&gt;"",LEFT(RIGHT("00000000"&amp;請求内容入力シート!$Q$13,6),1),"")</f>
        <v/>
      </c>
      <c r="U24" s="181" t="str">
        <f>IF(請求内容入力シート!$C$12&lt;&gt;"",LEFT(RIGHT("00000000"&amp;請求内容入力シート!$Q$13,5),1),"")</f>
        <v/>
      </c>
      <c r="V24" s="6" t="s">
        <v>23</v>
      </c>
      <c r="W24" s="181" t="str">
        <f>IF(請求内容入力シート!$C$12&lt;&gt;"",LEFT(RIGHT("00000000"&amp;請求内容入力シート!$Q$13,4),1),"")</f>
        <v/>
      </c>
      <c r="X24" s="183" t="str">
        <f>IF(請求内容入力シート!$C$12&lt;&gt;"",LEFT(RIGHT("00000000"&amp;請求内容入力シート!$Q$13,3),1),"")</f>
        <v/>
      </c>
      <c r="Y24" s="6" t="s">
        <v>24</v>
      </c>
      <c r="Z24" s="181" t="str">
        <f>IF(請求内容入力シート!$C$12&lt;&gt;"",LEFT(RIGHT("00000000"&amp;請求内容入力シート!$Q$13,2),1),"")</f>
        <v/>
      </c>
      <c r="AA24" s="183" t="str">
        <f>IF(請求内容入力シート!$C$12&lt;&gt;"",LEFT(RIGHT("00000000"&amp;請求内容入力シート!$Q$13,1),1),"")</f>
        <v/>
      </c>
      <c r="AB24" s="6" t="s">
        <v>118</v>
      </c>
      <c r="AC24" s="7"/>
      <c r="AD24" s="813" t="s">
        <v>6</v>
      </c>
      <c r="AE24" s="814"/>
      <c r="AF24" s="814"/>
      <c r="AG24" s="814"/>
      <c r="AH24" s="814"/>
      <c r="AI24" s="176" t="str">
        <f>IF(請求内容入力シート!$H$12&lt;&gt;"",LEFT(RIGHT("        "&amp;請求内容入力シート!$H$12,8),1),"")</f>
        <v xml:space="preserve"> </v>
      </c>
      <c r="AJ24" s="177" t="str">
        <f>IF(請求内容入力シート!$H$12&lt;&gt;"",LEFT(RIGHT("        "&amp;請求内容入力シート!$H$12,7),1),"")</f>
        <v xml:space="preserve"> </v>
      </c>
      <c r="AK24" s="176" t="str">
        <f>IF(請求内容入力シート!$H$12&lt;&gt;"",LEFT(RIGHT("        "&amp;請求内容入力シート!$H$12,6),1),"")</f>
        <v xml:space="preserve"> </v>
      </c>
      <c r="AL24" s="178" t="str">
        <f>IF(請求内容入力シート!$H$12&lt;&gt;"",LEFT(RIGHT("        "&amp;請求内容入力シート!$H$12,5),1),"")</f>
        <v xml:space="preserve"> </v>
      </c>
      <c r="AM24" s="177" t="str">
        <f>IF(請求内容入力シート!$H$12&lt;&gt;"",LEFT(RIGHT("        "&amp;請求内容入力シート!$H$12,4),1),"")</f>
        <v xml:space="preserve"> </v>
      </c>
      <c r="AN24" s="176" t="str">
        <f>IF(請求内容入力シート!$H$12&lt;&gt;"",LEFT(RIGHT("        "&amp;請求内容入力シート!$H$12,3),1),"")</f>
        <v xml:space="preserve"> </v>
      </c>
      <c r="AO24" s="178" t="str">
        <f>IF(請求内容入力シート!$H$12&lt;&gt;"",LEFT(RIGHT("        "&amp;請求内容入力シート!$H$12,2),1),"")</f>
        <v xml:space="preserve"> </v>
      </c>
      <c r="AP24" s="179" t="str">
        <f>IF(請求内容入力シート!$H$12&lt;&gt;"",LEFT(RIGHT("        "&amp;請求内容入力シート!$H$12,1),1),"")</f>
        <v>0</v>
      </c>
    </row>
    <row r="25" spans="1:42" s="1" customFormat="1" ht="50.1" customHeight="1">
      <c r="AE25" s="3"/>
      <c r="AF25" s="3"/>
      <c r="AG25" s="3"/>
      <c r="AH25" s="3"/>
    </row>
    <row r="26" spans="1:42" s="4" customFormat="1" ht="11.25">
      <c r="B26" s="783" t="s">
        <v>28</v>
      </c>
      <c r="C26" s="779" t="s">
        <v>14</v>
      </c>
      <c r="D26" s="779"/>
      <c r="E26" s="779"/>
      <c r="F26" s="779"/>
      <c r="G26" s="779"/>
      <c r="H26" s="779"/>
      <c r="I26" s="785" t="s">
        <v>27</v>
      </c>
      <c r="J26" s="786"/>
      <c r="K26" s="786"/>
      <c r="L26" s="786"/>
      <c r="M26" s="786"/>
      <c r="N26" s="786"/>
      <c r="O26" s="786"/>
      <c r="P26" s="786"/>
      <c r="Q26" s="786"/>
      <c r="R26" s="786"/>
      <c r="S26" s="787"/>
      <c r="T26" s="785" t="s">
        <v>16</v>
      </c>
      <c r="U26" s="786"/>
      <c r="V26" s="786"/>
      <c r="W26" s="786"/>
      <c r="X26" s="786"/>
      <c r="Y26" s="786"/>
      <c r="Z26" s="786"/>
      <c r="AA26" s="786"/>
      <c r="AB26" s="786"/>
      <c r="AC26" s="786"/>
      <c r="AD26" s="786"/>
      <c r="AE26" s="786"/>
      <c r="AF26" s="786"/>
      <c r="AG26" s="786"/>
      <c r="AH26" s="786"/>
      <c r="AI26" s="785" t="s">
        <v>2</v>
      </c>
      <c r="AJ26" s="786"/>
      <c r="AK26" s="786"/>
      <c r="AL26" s="786"/>
      <c r="AM26" s="786"/>
      <c r="AN26" s="786"/>
      <c r="AO26" s="786"/>
      <c r="AP26" s="787"/>
    </row>
    <row r="27" spans="1:42" s="4" customFormat="1" ht="11.25">
      <c r="B27" s="784"/>
      <c r="C27" s="780" t="s">
        <v>120</v>
      </c>
      <c r="D27" s="780"/>
      <c r="E27" s="780"/>
      <c r="F27" s="780"/>
      <c r="G27" s="780"/>
      <c r="H27" s="780"/>
      <c r="I27" s="785" t="s">
        <v>26</v>
      </c>
      <c r="J27" s="799"/>
      <c r="K27" s="799"/>
      <c r="L27" s="799"/>
      <c r="M27" s="799"/>
      <c r="N27" s="799"/>
      <c r="O27" s="799"/>
      <c r="P27" s="799"/>
      <c r="Q27" s="799"/>
      <c r="R27" s="799"/>
      <c r="S27" s="809"/>
      <c r="T27" s="785" t="s">
        <v>17</v>
      </c>
      <c r="U27" s="799"/>
      <c r="V27" s="799"/>
      <c r="W27" s="799"/>
      <c r="X27" s="799"/>
      <c r="Y27" s="799"/>
      <c r="Z27" s="799"/>
      <c r="AA27" s="799"/>
      <c r="AB27" s="799"/>
      <c r="AC27" s="799"/>
      <c r="AD27" s="799"/>
      <c r="AE27" s="799"/>
      <c r="AF27" s="799"/>
      <c r="AG27" s="799"/>
      <c r="AH27" s="799"/>
      <c r="AI27" s="793"/>
      <c r="AJ27" s="794"/>
      <c r="AK27" s="794"/>
      <c r="AL27" s="794"/>
      <c r="AM27" s="794"/>
      <c r="AN27" s="794"/>
      <c r="AO27" s="794"/>
      <c r="AP27" s="795"/>
    </row>
    <row r="28" spans="1:42" s="1" customFormat="1" ht="24.95" customHeight="1">
      <c r="B28" s="800">
        <v>3</v>
      </c>
      <c r="C28" s="804" t="str">
        <f>IF(I28&lt;&gt;"",パラメータ!$B$7,"")</f>
        <v/>
      </c>
      <c r="D28" s="804"/>
      <c r="E28" s="804"/>
      <c r="F28" s="804"/>
      <c r="G28" s="804"/>
      <c r="H28" s="804"/>
      <c r="I28" s="136" t="str">
        <f>IF(請求内容入力シート!$C$13&lt;&gt;"",LEFT(RIGHT("0000000000"&amp;請求内容入力シート!$C$13,10),1),"")</f>
        <v/>
      </c>
      <c r="J28" s="137" t="str">
        <f>IF(請求内容入力シート!$C$13&lt;&gt;"",LEFT(RIGHT("0000000000"&amp;請求内容入力シート!$C$13,9),1),"")</f>
        <v/>
      </c>
      <c r="K28" s="137" t="str">
        <f>IF(請求内容入力シート!$C$13&lt;&gt;"",LEFT(RIGHT("0000000000"&amp;請求内容入力シート!$C$13,8),1),"")</f>
        <v/>
      </c>
      <c r="L28" s="138" t="str">
        <f>IF(請求内容入力シート!$C$13&lt;&gt;"",LEFT(RIGHT("0000000000"&amp;請求内容入力シート!$C$13,7),1),"")</f>
        <v/>
      </c>
      <c r="M28" s="127" t="s">
        <v>117</v>
      </c>
      <c r="N28" s="136" t="str">
        <f>IF(請求内容入力シート!$C$13&lt;&gt;"",LEFT(RIGHT("0000000000"&amp;請求内容入力シート!$C$13,6),1),"")</f>
        <v/>
      </c>
      <c r="O28" s="137" t="str">
        <f>IF(請求内容入力シート!$C$13&lt;&gt;"",LEFT(RIGHT("0000000000"&amp;請求内容入力シート!$C$13,5),1),"")</f>
        <v/>
      </c>
      <c r="P28" s="137" t="str">
        <f>IF(請求内容入力シート!$C$13&lt;&gt;"",LEFT(RIGHT("0000000000"&amp;請求内容入力シート!$C$13,4),1),"")</f>
        <v/>
      </c>
      <c r="Q28" s="137" t="str">
        <f>IF(請求内容入力シート!$C$13&lt;&gt;"",LEFT(RIGHT("0000000000"&amp;請求内容入力シート!$C$13,3),1),"")</f>
        <v/>
      </c>
      <c r="R28" s="137" t="str">
        <f>IF(請求内容入力シート!$C$13&lt;&gt;"",LEFT(RIGHT("0000000000"&amp;請求内容入力シート!$C$13,2),1),"")</f>
        <v/>
      </c>
      <c r="S28" s="138" t="str">
        <f>IF(請求内容入力シート!$C$13&lt;&gt;"",LEFT(RIGHT("0000000000"&amp;請求内容入力シート!$C$13,1),1),"")</f>
        <v/>
      </c>
      <c r="T28" s="802" t="str">
        <f>IF(請求内容入力シート!$D$13&lt;&gt;"",請求内容入力シート!$D$13,"")</f>
        <v/>
      </c>
      <c r="U28" s="803"/>
      <c r="V28" s="803"/>
      <c r="W28" s="803"/>
      <c r="X28" s="803"/>
      <c r="Y28" s="803"/>
      <c r="Z28" s="803"/>
      <c r="AA28" s="803"/>
      <c r="AB28" s="803"/>
      <c r="AC28" s="803"/>
      <c r="AD28" s="803"/>
      <c r="AE28" s="803"/>
      <c r="AF28" s="803"/>
      <c r="AG28" s="803"/>
      <c r="AH28" s="803"/>
      <c r="AI28" s="170"/>
      <c r="AJ28" s="171"/>
      <c r="AK28" s="170"/>
      <c r="AL28" s="172"/>
      <c r="AM28" s="171"/>
      <c r="AN28" s="170"/>
      <c r="AO28" s="172"/>
      <c r="AP28" s="171"/>
    </row>
    <row r="29" spans="1:42" s="1" customFormat="1" ht="24.95" customHeight="1">
      <c r="B29" s="801"/>
      <c r="C29" s="805" t="str">
        <f>IF(I28&lt;&gt;"",パラメータ!$B$8&amp;"13","")</f>
        <v/>
      </c>
      <c r="D29" s="805"/>
      <c r="E29" s="805"/>
      <c r="F29" s="805"/>
      <c r="G29" s="805"/>
      <c r="H29" s="805"/>
      <c r="I29" s="806" t="s">
        <v>133</v>
      </c>
      <c r="J29" s="807"/>
      <c r="K29" s="807"/>
      <c r="L29" s="807"/>
      <c r="M29" s="807"/>
      <c r="N29" s="807"/>
      <c r="O29" s="807" t="s">
        <v>132</v>
      </c>
      <c r="P29" s="807"/>
      <c r="Q29" s="807"/>
      <c r="R29" s="807"/>
      <c r="S29" s="808"/>
      <c r="T29" s="706" t="str">
        <f>IF(請求内容入力シート!$E$13&lt;&gt;"",請求内容入力シート!$E$13,"")</f>
        <v/>
      </c>
      <c r="U29" s="707"/>
      <c r="V29" s="707"/>
      <c r="W29" s="707"/>
      <c r="X29" s="707"/>
      <c r="Y29" s="707"/>
      <c r="Z29" s="707"/>
      <c r="AA29" s="707"/>
      <c r="AB29" s="707"/>
      <c r="AC29" s="707"/>
      <c r="AD29" s="707"/>
      <c r="AE29" s="707"/>
      <c r="AF29" s="707"/>
      <c r="AG29" s="707"/>
      <c r="AH29" s="707"/>
      <c r="AI29" s="146" t="str">
        <f>IF(請求内容入力シート!$F$13&lt;&gt;"",LEFT(RIGHT("        "&amp;請求内容入力シート!$F$13,8),1),"")</f>
        <v/>
      </c>
      <c r="AJ29" s="145" t="str">
        <f>IF(請求内容入力シート!$F$13&lt;&gt;"",LEFT(RIGHT("        "&amp;請求内容入力シート!$F$13,7),1),"")</f>
        <v/>
      </c>
      <c r="AK29" s="146" t="str">
        <f>IF(請求内容入力シート!$F$13&lt;&gt;"",LEFT(RIGHT("        "&amp;請求内容入力シート!$F$13,6),1),"")</f>
        <v/>
      </c>
      <c r="AL29" s="147" t="str">
        <f>IF(請求内容入力シート!$F$13&lt;&gt;"",LEFT(RIGHT("        "&amp;請求内容入力シート!$F$13,5),1),"")</f>
        <v/>
      </c>
      <c r="AM29" s="145" t="str">
        <f>IF(請求内容入力シート!$F$13&lt;&gt;"",LEFT(RIGHT("        "&amp;請求内容入力シート!$F$13,4),1),"")</f>
        <v/>
      </c>
      <c r="AN29" s="146" t="str">
        <f>IF(請求内容入力シート!$F$13&lt;&gt;"",LEFT(RIGHT("        "&amp;請求内容入力シート!$F$13,3),1),"")</f>
        <v/>
      </c>
      <c r="AO29" s="147" t="str">
        <f>IF(請求内容入力シート!$F$13&lt;&gt;"",LEFT(RIGHT("        "&amp;請求内容入力シート!$F$13,2),1),"")</f>
        <v/>
      </c>
      <c r="AP29" s="145" t="str">
        <f>IF(請求内容入力シート!$F$13&lt;&gt;"",LEFT(RIGHT("        "&amp;請求内容入力シート!$F$13,1),1),"")</f>
        <v/>
      </c>
    </row>
    <row r="30" spans="1:42" s="1" customFormat="1" ht="22.5" customHeight="1" thickBot="1">
      <c r="B30" s="5"/>
      <c r="C30" s="5"/>
      <c r="D30" s="5"/>
      <c r="E30" s="5"/>
      <c r="F30" s="810" t="s">
        <v>22</v>
      </c>
      <c r="G30" s="810"/>
      <c r="H30" s="810"/>
      <c r="AD30" s="722" t="s">
        <v>5</v>
      </c>
      <c r="AE30" s="686"/>
      <c r="AF30" s="686"/>
      <c r="AG30" s="686"/>
      <c r="AH30" s="686"/>
      <c r="AI30" s="170" t="str">
        <f>IF(請求内容入力シート!$G$13&lt;&gt;"",LEFT(RIGHT("        "&amp;請求内容入力シート!$G$13,8),1),"")</f>
        <v/>
      </c>
      <c r="AJ30" s="171" t="str">
        <f>IF(請求内容入力シート!$G$13&lt;&gt;"",LEFT(RIGHT("        "&amp;請求内容入力シート!$G$13,7),1),"")</f>
        <v/>
      </c>
      <c r="AK30" s="170" t="str">
        <f>IF(請求内容入力シート!$G$13&lt;&gt;"",LEFT(RIGHT("        "&amp;請求内容入力シート!$G$13,6),1),"")</f>
        <v/>
      </c>
      <c r="AL30" s="172" t="str">
        <f>IF(請求内容入力シート!$G$13&lt;&gt;"",LEFT(RIGHT("        "&amp;請求内容入力シート!$G$13,5),1),"")</f>
        <v/>
      </c>
      <c r="AM30" s="171" t="str">
        <f>IF(請求内容入力シート!$G$13&lt;&gt;"",LEFT(RIGHT("        "&amp;請求内容入力シート!$G$13,4),1),"")</f>
        <v/>
      </c>
      <c r="AN30" s="170" t="str">
        <f>IF(請求内容入力シート!$G$13&lt;&gt;"",LEFT(RIGHT("        "&amp;請求内容入力シート!$G$13,3),1),"")</f>
        <v/>
      </c>
      <c r="AO30" s="172" t="str">
        <f>IF(請求内容入力シート!$G$13&lt;&gt;"",LEFT(RIGHT("        "&amp;請求内容入力シート!$G$13,2),1),"")</f>
        <v/>
      </c>
      <c r="AP30" s="171" t="str">
        <f>IF(請求内容入力シート!$G$13&lt;&gt;"",LEFT(RIGHT("        "&amp;請求内容入力シート!$G$13,1),1),"")</f>
        <v/>
      </c>
    </row>
    <row r="31" spans="1:42" s="1" customFormat="1" ht="24.95" customHeight="1" thickBot="1">
      <c r="A31" s="1" t="s">
        <v>3</v>
      </c>
      <c r="B31" s="811" t="s">
        <v>21</v>
      </c>
      <c r="C31" s="812"/>
      <c r="D31" s="812"/>
      <c r="E31" s="812"/>
      <c r="F31" s="180" t="str">
        <f>IF(請求内容入力シート!$C$13&lt;&gt;"",LEFT(RIGHT("00000000"&amp;請求内容入力シート!$O$13,8),1),"")</f>
        <v/>
      </c>
      <c r="G31" s="182" t="str">
        <f>IF(請求内容入力シート!$C$13&lt;&gt;"",LEFT(RIGHT("00000000"&amp;請求内容入力シート!$O$13,7),1),"")</f>
        <v/>
      </c>
      <c r="H31" s="182" t="str">
        <f>IF(請求内容入力シート!$C$13&lt;&gt;"",LEFT(RIGHT("00000000"&amp;請求内容入力シート!$O$13,6),1),"")</f>
        <v/>
      </c>
      <c r="I31" s="181" t="str">
        <f>IF(請求内容入力シート!$C$13&lt;&gt;"",LEFT(RIGHT("00000000"&amp;請求内容入力シート!$O$13,5),1),"")</f>
        <v/>
      </c>
      <c r="J31" s="6" t="s">
        <v>23</v>
      </c>
      <c r="K31" s="181" t="str">
        <f>IF(請求内容入力シート!$C$13&lt;&gt;"",LEFT(RIGHT("00000000"&amp;請求内容入力シート!$O$13,4),1),"")</f>
        <v/>
      </c>
      <c r="L31" s="183" t="str">
        <f>IF(請求内容入力シート!$C$13&lt;&gt;"",LEFT(RIGHT("00000000"&amp;請求内容入力シート!$O$13,3),1),"")</f>
        <v/>
      </c>
      <c r="M31" s="6" t="s">
        <v>24</v>
      </c>
      <c r="N31" s="181" t="str">
        <f>IF(請求内容入力シート!$C$13&lt;&gt;"",LEFT(RIGHT("00000000"&amp;請求内容入力シート!$O$13,2),1),"")</f>
        <v/>
      </c>
      <c r="O31" s="183" t="str">
        <f>IF(請求内容入力シート!$C$13&lt;&gt;"",LEFT(RIGHT("00000000"&amp;請求内容入力シート!$O$13,1),1),"")</f>
        <v/>
      </c>
      <c r="P31" s="6" t="s">
        <v>25</v>
      </c>
      <c r="Q31" s="6" t="s">
        <v>29</v>
      </c>
      <c r="R31" s="180" t="str">
        <f>IF(請求内容入力シート!$C$13&lt;&gt;"",LEFT(RIGHT("00000000"&amp;請求内容入力シート!$Q$13,8),1),"")</f>
        <v/>
      </c>
      <c r="S31" s="182" t="str">
        <f>IF(請求内容入力シート!$C$13&lt;&gt;"",LEFT(RIGHT("00000000"&amp;請求内容入力シート!$Q$13,7),1),"")</f>
        <v/>
      </c>
      <c r="T31" s="182" t="str">
        <f>IF(請求内容入力シート!$C$13&lt;&gt;"",LEFT(RIGHT("00000000"&amp;請求内容入力シート!$Q$13,6),1),"")</f>
        <v/>
      </c>
      <c r="U31" s="181" t="str">
        <f>IF(請求内容入力シート!$C$13&lt;&gt;"",LEFT(RIGHT("00000000"&amp;請求内容入力シート!$Q$13,5),1),"")</f>
        <v/>
      </c>
      <c r="V31" s="6" t="s">
        <v>23</v>
      </c>
      <c r="W31" s="181" t="str">
        <f>IF(請求内容入力シート!$C$13&lt;&gt;"",LEFT(RIGHT("00000000"&amp;請求内容入力シート!$Q$13,4),1),"")</f>
        <v/>
      </c>
      <c r="X31" s="183" t="str">
        <f>IF(請求内容入力シート!$C$13&lt;&gt;"",LEFT(RIGHT("00000000"&amp;請求内容入力シート!$Q$13,3),1),"")</f>
        <v/>
      </c>
      <c r="Y31" s="6" t="s">
        <v>24</v>
      </c>
      <c r="Z31" s="181" t="str">
        <f>IF(請求内容入力シート!$C$13&lt;&gt;"",LEFT(RIGHT("00000000"&amp;請求内容入力シート!$Q$13,2),1),"")</f>
        <v/>
      </c>
      <c r="AA31" s="183" t="str">
        <f>IF(請求内容入力シート!$C$13&lt;&gt;"",LEFT(RIGHT("00000000"&amp;請求内容入力シート!$Q$13,1),1),"")</f>
        <v/>
      </c>
      <c r="AB31" s="6" t="s">
        <v>118</v>
      </c>
      <c r="AC31" s="7"/>
      <c r="AD31" s="813" t="s">
        <v>6</v>
      </c>
      <c r="AE31" s="814"/>
      <c r="AF31" s="814"/>
      <c r="AG31" s="814"/>
      <c r="AH31" s="814"/>
      <c r="AI31" s="176" t="str">
        <f>IF(請求内容入力シート!$H$13&lt;&gt;"",LEFT(RIGHT("        "&amp;請求内容入力シート!$H$13,8),1),"")</f>
        <v xml:space="preserve"> </v>
      </c>
      <c r="AJ31" s="177" t="str">
        <f>IF(請求内容入力シート!$H$13&lt;&gt;"",LEFT(RIGHT("        "&amp;請求内容入力シート!$H$13,7),1),"")</f>
        <v xml:space="preserve"> </v>
      </c>
      <c r="AK31" s="176" t="str">
        <f>IF(請求内容入力シート!$H$13&lt;&gt;"",LEFT(RIGHT("        "&amp;請求内容入力シート!$H$13,6),1),"")</f>
        <v xml:space="preserve"> </v>
      </c>
      <c r="AL31" s="178" t="str">
        <f>IF(請求内容入力シート!$H$13&lt;&gt;"",LEFT(RIGHT("        "&amp;請求内容入力シート!$H$13,5),1),"")</f>
        <v xml:space="preserve"> </v>
      </c>
      <c r="AM31" s="177" t="str">
        <f>IF(請求内容入力シート!$H$13&lt;&gt;"",LEFT(RIGHT("        "&amp;請求内容入力シート!$H$13,4),1),"")</f>
        <v xml:space="preserve"> </v>
      </c>
      <c r="AN31" s="176" t="str">
        <f>IF(請求内容入力シート!$H$13&lt;&gt;"",LEFT(RIGHT("        "&amp;請求内容入力シート!$H$13,3),1),"")</f>
        <v xml:space="preserve"> </v>
      </c>
      <c r="AO31" s="178" t="str">
        <f>IF(請求内容入力シート!$H$13&lt;&gt;"",LEFT(RIGHT("        "&amp;請求内容入力シート!$H$13,2),1),"")</f>
        <v xml:space="preserve"> </v>
      </c>
      <c r="AP31" s="179" t="str">
        <f>IF(請求内容入力シート!$H$13&lt;&gt;"",LEFT(RIGHT("        "&amp;請求内容入力シート!$H$13,1),1),"")</f>
        <v>0</v>
      </c>
    </row>
    <row r="32" spans="1:42" s="1" customFormat="1">
      <c r="AE32" s="3"/>
      <c r="AF32" s="3"/>
      <c r="AG32" s="3"/>
      <c r="AH32" s="3"/>
    </row>
    <row r="33" spans="2:42" s="1" customFormat="1" ht="24.95" customHeight="1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42" s="1" customFormat="1" ht="5.0999999999999996" customHeight="1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42" s="1" customFormat="1" ht="20.100000000000001" customHeight="1">
      <c r="B35" s="705"/>
      <c r="C35" s="705"/>
      <c r="D35" s="70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W35" s="815" t="s">
        <v>7</v>
      </c>
      <c r="X35" s="815"/>
      <c r="Y35" s="815"/>
      <c r="Z35" s="815"/>
      <c r="AA35" s="815"/>
    </row>
    <row r="36" spans="2:42" s="1" customFormat="1" ht="24.95" customHeight="1">
      <c r="B36" s="762" t="s">
        <v>12</v>
      </c>
      <c r="C36" s="715"/>
      <c r="D36" s="716"/>
      <c r="E36" s="712" t="str">
        <f>パラメータ!B6</f>
        <v>企業システム開発部 第2開発センター</v>
      </c>
      <c r="F36" s="769"/>
      <c r="G36" s="769"/>
      <c r="H36" s="769"/>
      <c r="I36" s="769"/>
      <c r="J36" s="769"/>
      <c r="K36" s="769"/>
      <c r="L36" s="769"/>
      <c r="M36" s="769"/>
      <c r="N36" s="769"/>
      <c r="O36" s="769"/>
      <c r="P36" s="769"/>
      <c r="Q36" s="769"/>
      <c r="R36" s="817"/>
      <c r="W36" s="9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0"/>
    </row>
    <row r="37" spans="2:42" s="1" customFormat="1" ht="20.100000000000001" customHeight="1">
      <c r="B37" s="765" t="s">
        <v>9</v>
      </c>
      <c r="C37" s="712" t="s">
        <v>13</v>
      </c>
      <c r="D37" s="713"/>
      <c r="E37" s="713"/>
      <c r="F37" s="714"/>
      <c r="G37" s="712" t="s">
        <v>126</v>
      </c>
      <c r="H37" s="769"/>
      <c r="I37" s="769"/>
      <c r="J37" s="770"/>
      <c r="K37" s="712" t="s">
        <v>10</v>
      </c>
      <c r="L37" s="769"/>
      <c r="M37" s="769"/>
      <c r="N37" s="770"/>
      <c r="O37" s="712" t="s">
        <v>11</v>
      </c>
      <c r="P37" s="769"/>
      <c r="Q37" s="769"/>
      <c r="R37" s="770"/>
      <c r="W37" s="11"/>
      <c r="AG37" s="816"/>
      <c r="AH37" s="816"/>
      <c r="AI37" s="816"/>
      <c r="AJ37" s="816"/>
      <c r="AK37" s="816"/>
      <c r="AL37" s="816"/>
      <c r="AP37" s="12"/>
    </row>
    <row r="38" spans="2:42" s="1" customFormat="1">
      <c r="B38" s="766"/>
      <c r="C38" s="11"/>
      <c r="F38" s="12"/>
      <c r="G38" s="11"/>
      <c r="J38" s="12"/>
      <c r="K38" s="11"/>
      <c r="N38" s="12"/>
      <c r="R38" s="12"/>
      <c r="W38" s="11"/>
      <c r="AP38" s="12"/>
    </row>
    <row r="39" spans="2:42" s="1" customFormat="1">
      <c r="B39" s="767"/>
      <c r="C39" s="11"/>
      <c r="F39" s="12"/>
      <c r="G39" s="11"/>
      <c r="J39" s="12"/>
      <c r="K39" s="11"/>
      <c r="N39" s="12"/>
      <c r="R39" s="12"/>
      <c r="W39" s="11"/>
      <c r="AP39" s="12"/>
    </row>
    <row r="40" spans="2:42" s="1" customFormat="1">
      <c r="B40" s="768"/>
      <c r="C40" s="13"/>
      <c r="D40" s="14"/>
      <c r="E40" s="14"/>
      <c r="F40" s="15"/>
      <c r="G40" s="13"/>
      <c r="H40" s="14"/>
      <c r="I40" s="14"/>
      <c r="J40" s="15"/>
      <c r="K40" s="13"/>
      <c r="L40" s="14"/>
      <c r="M40" s="14"/>
      <c r="N40" s="15"/>
      <c r="O40" s="14"/>
      <c r="P40" s="14"/>
      <c r="Q40" s="14"/>
      <c r="R40" s="15"/>
      <c r="W40" s="13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5"/>
    </row>
    <row r="41" spans="2:42" s="1" customFormat="1"/>
  </sheetData>
  <mergeCells count="74">
    <mergeCell ref="O37:R37"/>
    <mergeCell ref="F30:H30"/>
    <mergeCell ref="AD30:AH30"/>
    <mergeCell ref="B31:E31"/>
    <mergeCell ref="AD31:AH31"/>
    <mergeCell ref="B35:D35"/>
    <mergeCell ref="W35:AA35"/>
    <mergeCell ref="AG37:AL37"/>
    <mergeCell ref="B36:D36"/>
    <mergeCell ref="E36:R36"/>
    <mergeCell ref="B37:B40"/>
    <mergeCell ref="C37:F37"/>
    <mergeCell ref="G37:J37"/>
    <mergeCell ref="K37:N37"/>
    <mergeCell ref="B26:B27"/>
    <mergeCell ref="I26:S26"/>
    <mergeCell ref="T26:AH26"/>
    <mergeCell ref="O29:S29"/>
    <mergeCell ref="AI26:AP27"/>
    <mergeCell ref="I27:S27"/>
    <mergeCell ref="T27:AH27"/>
    <mergeCell ref="C26:H26"/>
    <mergeCell ref="C27:H27"/>
    <mergeCell ref="C28:H28"/>
    <mergeCell ref="C29:H29"/>
    <mergeCell ref="I29:N29"/>
    <mergeCell ref="B28:B29"/>
    <mergeCell ref="T28:AH28"/>
    <mergeCell ref="T29:AH29"/>
    <mergeCell ref="B24:E24"/>
    <mergeCell ref="AD24:AH24"/>
    <mergeCell ref="I22:N22"/>
    <mergeCell ref="O22:S22"/>
    <mergeCell ref="C22:H22"/>
    <mergeCell ref="C21:H21"/>
    <mergeCell ref="B21:B22"/>
    <mergeCell ref="T21:AH21"/>
    <mergeCell ref="T22:AH22"/>
    <mergeCell ref="F23:H23"/>
    <mergeCell ref="AD23:AH23"/>
    <mergeCell ref="B17:E17"/>
    <mergeCell ref="AD17:AH17"/>
    <mergeCell ref="B19:B20"/>
    <mergeCell ref="I19:S19"/>
    <mergeCell ref="T19:AH19"/>
    <mergeCell ref="C19:H19"/>
    <mergeCell ref="C20:H20"/>
    <mergeCell ref="AI19:AP20"/>
    <mergeCell ref="I20:S20"/>
    <mergeCell ref="T20:AH20"/>
    <mergeCell ref="F16:H16"/>
    <mergeCell ref="AD16:AH16"/>
    <mergeCell ref="B14:B15"/>
    <mergeCell ref="T14:AH14"/>
    <mergeCell ref="T15:AH15"/>
    <mergeCell ref="C14:H14"/>
    <mergeCell ref="C15:H15"/>
    <mergeCell ref="I15:N15"/>
    <mergeCell ref="O15:S15"/>
    <mergeCell ref="C12:H12"/>
    <mergeCell ref="C13:H13"/>
    <mergeCell ref="B3:AP4"/>
    <mergeCell ref="B5:J5"/>
    <mergeCell ref="AE5:AH5"/>
    <mergeCell ref="AE6:AH6"/>
    <mergeCell ref="AI6:AP6"/>
    <mergeCell ref="B12:B13"/>
    <mergeCell ref="I12:S12"/>
    <mergeCell ref="T12:AH12"/>
    <mergeCell ref="AE7:AH8"/>
    <mergeCell ref="AI7:AP8"/>
    <mergeCell ref="AI12:AP13"/>
    <mergeCell ref="I13:S13"/>
    <mergeCell ref="T13:AH13"/>
  </mergeCells>
  <phoneticPr fontId="2"/>
  <printOptions horizontalCentered="1"/>
  <pageMargins left="0.39370078740157483" right="0.39370078740157483" top="0.39370078740157483" bottom="0.39370078740157483" header="0.39370078740157483" footer="0.39370078740157483"/>
  <pageSetup paperSize="9" scale="97" fitToHeight="0" orientation="portrait" horizontalDpi="258" verticalDpi="258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AP41"/>
  <sheetViews>
    <sheetView zoomScaleNormal="100" zoomScaleSheetLayoutView="70" workbookViewId="0"/>
  </sheetViews>
  <sheetFormatPr defaultColWidth="2.25" defaultRowHeight="13.5"/>
  <cols>
    <col min="1" max="34" width="2.25" style="126"/>
    <col min="35" max="42" width="2.625" style="126" customWidth="1"/>
    <col min="43" max="16384" width="2.25" style="126"/>
  </cols>
  <sheetData>
    <row r="1" spans="2:42" s="1" customFormat="1" ht="13.5" customHeight="1"/>
    <row r="2" spans="2:42" s="1" customFormat="1" ht="13.5" customHeight="1"/>
    <row r="3" spans="2:42" s="1" customFormat="1" ht="13.5" customHeight="1">
      <c r="B3" s="682" t="s">
        <v>0</v>
      </c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</row>
    <row r="4" spans="2:42" s="1" customFormat="1" ht="13.5" customHeight="1"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</row>
    <row r="5" spans="2:42" s="1" customFormat="1" ht="24.95" customHeight="1">
      <c r="B5" s="712" t="s">
        <v>20</v>
      </c>
      <c r="C5" s="713"/>
      <c r="D5" s="713"/>
      <c r="E5" s="713"/>
      <c r="F5" s="713"/>
      <c r="G5" s="713"/>
      <c r="H5" s="713"/>
      <c r="I5" s="713"/>
      <c r="J5" s="714"/>
      <c r="AE5" s="712" t="s">
        <v>1</v>
      </c>
      <c r="AF5" s="713"/>
      <c r="AG5" s="713"/>
      <c r="AH5" s="714"/>
      <c r="AI5" s="130" t="str">
        <f>LEFT(パラメータ!B5,1)</f>
        <v>A</v>
      </c>
      <c r="AJ5" s="131" t="str">
        <f>MID(パラメータ!B5,2,1)</f>
        <v>9</v>
      </c>
      <c r="AK5" s="131" t="str">
        <f>MID(パラメータ!B5,3,1)</f>
        <v>7</v>
      </c>
      <c r="AL5" s="131" t="str">
        <f>MID(パラメータ!B5,4,1)</f>
        <v>1</v>
      </c>
      <c r="AM5" s="131" t="str">
        <f>MID(パラメータ!B5,5,1)</f>
        <v>2</v>
      </c>
      <c r="AN5" s="132" t="str">
        <f>MID(パラメータ!B5,6,1)</f>
        <v>2</v>
      </c>
    </row>
    <row r="6" spans="2:42" s="1" customFormat="1" ht="24.95" customHeight="1">
      <c r="B6" s="2"/>
      <c r="C6" s="2"/>
      <c r="D6" s="2"/>
      <c r="E6" s="2"/>
      <c r="F6" s="2"/>
      <c r="G6" s="2"/>
      <c r="H6" s="2"/>
      <c r="I6" s="2"/>
      <c r="J6" s="2"/>
      <c r="AE6" s="712" t="s">
        <v>18</v>
      </c>
      <c r="AF6" s="713"/>
      <c r="AG6" s="713"/>
      <c r="AH6" s="714"/>
      <c r="AI6" s="717" t="str">
        <f>パラメータ!B3</f>
        <v>株式会社VTIジャパン</v>
      </c>
      <c r="AJ6" s="781"/>
      <c r="AK6" s="781"/>
      <c r="AL6" s="781"/>
      <c r="AM6" s="781"/>
      <c r="AN6" s="781"/>
      <c r="AO6" s="781"/>
      <c r="AP6" s="782"/>
    </row>
    <row r="7" spans="2:42" s="1" customFormat="1" ht="13.5" customHeight="1">
      <c r="AE7" s="722" t="s">
        <v>19</v>
      </c>
      <c r="AF7" s="788"/>
      <c r="AG7" s="788"/>
      <c r="AH7" s="789"/>
      <c r="AI7" s="722" t="str">
        <f>パラメータ!B4</f>
        <v>グエン ホン ソン</v>
      </c>
      <c r="AJ7" s="788"/>
      <c r="AK7" s="788"/>
      <c r="AL7" s="788"/>
      <c r="AM7" s="788"/>
      <c r="AN7" s="788"/>
      <c r="AO7" s="788"/>
      <c r="AP7" s="789"/>
    </row>
    <row r="8" spans="2:42" s="1" customFormat="1" ht="13.5" customHeight="1">
      <c r="AE8" s="790"/>
      <c r="AF8" s="791"/>
      <c r="AG8" s="791"/>
      <c r="AH8" s="792"/>
      <c r="AI8" s="790"/>
      <c r="AJ8" s="791"/>
      <c r="AK8" s="791"/>
      <c r="AL8" s="791"/>
      <c r="AM8" s="791"/>
      <c r="AN8" s="791"/>
      <c r="AO8" s="791"/>
      <c r="AP8" s="792"/>
    </row>
    <row r="9" spans="2:42" s="1" customFormat="1">
      <c r="AE9" s="3"/>
      <c r="AF9" s="3"/>
      <c r="AG9" s="3"/>
      <c r="AH9" s="3"/>
    </row>
    <row r="10" spans="2:42" s="1" customFormat="1">
      <c r="AE10" s="3"/>
      <c r="AF10" s="3"/>
      <c r="AG10" s="3"/>
      <c r="AH10" s="3"/>
    </row>
    <row r="11" spans="2:42" s="1" customFormat="1">
      <c r="AE11" s="3"/>
      <c r="AF11" s="3"/>
      <c r="AG11" s="3"/>
      <c r="AH11" s="3"/>
    </row>
    <row r="12" spans="2:42" s="4" customFormat="1" ht="11.25">
      <c r="B12" s="783" t="s">
        <v>28</v>
      </c>
      <c r="C12" s="779" t="s">
        <v>14</v>
      </c>
      <c r="D12" s="779"/>
      <c r="E12" s="779"/>
      <c r="F12" s="779"/>
      <c r="G12" s="779"/>
      <c r="H12" s="779"/>
      <c r="I12" s="785" t="s">
        <v>27</v>
      </c>
      <c r="J12" s="786"/>
      <c r="K12" s="786"/>
      <c r="L12" s="786"/>
      <c r="M12" s="786"/>
      <c r="N12" s="786"/>
      <c r="O12" s="786"/>
      <c r="P12" s="786"/>
      <c r="Q12" s="786"/>
      <c r="R12" s="786"/>
      <c r="S12" s="787"/>
      <c r="T12" s="785" t="s">
        <v>16</v>
      </c>
      <c r="U12" s="786"/>
      <c r="V12" s="786"/>
      <c r="W12" s="786"/>
      <c r="X12" s="786"/>
      <c r="Y12" s="786"/>
      <c r="Z12" s="786"/>
      <c r="AA12" s="786"/>
      <c r="AB12" s="786"/>
      <c r="AC12" s="786"/>
      <c r="AD12" s="786"/>
      <c r="AE12" s="786"/>
      <c r="AF12" s="786"/>
      <c r="AG12" s="786"/>
      <c r="AH12" s="786"/>
      <c r="AI12" s="785" t="s">
        <v>2</v>
      </c>
      <c r="AJ12" s="786"/>
      <c r="AK12" s="786"/>
      <c r="AL12" s="786"/>
      <c r="AM12" s="786"/>
      <c r="AN12" s="786"/>
      <c r="AO12" s="786"/>
      <c r="AP12" s="787"/>
    </row>
    <row r="13" spans="2:42" s="4" customFormat="1" ht="11.25">
      <c r="B13" s="784"/>
      <c r="C13" s="780" t="s">
        <v>120</v>
      </c>
      <c r="D13" s="780"/>
      <c r="E13" s="780"/>
      <c r="F13" s="780"/>
      <c r="G13" s="780"/>
      <c r="H13" s="780"/>
      <c r="I13" s="796" t="s">
        <v>26</v>
      </c>
      <c r="J13" s="797"/>
      <c r="K13" s="797"/>
      <c r="L13" s="797"/>
      <c r="M13" s="797"/>
      <c r="N13" s="797"/>
      <c r="O13" s="797"/>
      <c r="P13" s="797"/>
      <c r="Q13" s="797"/>
      <c r="R13" s="797"/>
      <c r="S13" s="798"/>
      <c r="T13" s="785" t="s">
        <v>17</v>
      </c>
      <c r="U13" s="799"/>
      <c r="V13" s="799"/>
      <c r="W13" s="799"/>
      <c r="X13" s="799"/>
      <c r="Y13" s="799"/>
      <c r="Z13" s="799"/>
      <c r="AA13" s="799"/>
      <c r="AB13" s="799"/>
      <c r="AC13" s="799"/>
      <c r="AD13" s="799"/>
      <c r="AE13" s="799"/>
      <c r="AF13" s="799"/>
      <c r="AG13" s="799"/>
      <c r="AH13" s="799"/>
      <c r="AI13" s="793"/>
      <c r="AJ13" s="794"/>
      <c r="AK13" s="794"/>
      <c r="AL13" s="794"/>
      <c r="AM13" s="794"/>
      <c r="AN13" s="794"/>
      <c r="AO13" s="794"/>
      <c r="AP13" s="795"/>
    </row>
    <row r="14" spans="2:42" s="1" customFormat="1" ht="24.95" customHeight="1">
      <c r="B14" s="800">
        <v>1</v>
      </c>
      <c r="C14" s="804" t="str">
        <f>IF(I14&lt;&gt;"",パラメータ!$B$7,"")</f>
        <v/>
      </c>
      <c r="D14" s="804"/>
      <c r="E14" s="804"/>
      <c r="F14" s="804"/>
      <c r="G14" s="804"/>
      <c r="H14" s="804"/>
      <c r="I14" s="133" t="str">
        <f>IF(請求内容入力シート!$C$14&lt;&gt;"",LEFT(RIGHT("0000000000"&amp;請求内容入力シート!$C$14,10),1),"")</f>
        <v/>
      </c>
      <c r="J14" s="134" t="str">
        <f>IF(請求内容入力シート!$C$14&lt;&gt;"",LEFT(RIGHT("0000000000"&amp;請求内容入力シート!$C$14,9),1),"")</f>
        <v/>
      </c>
      <c r="K14" s="134" t="str">
        <f>IF(請求内容入力シート!$C$14&lt;&gt;"",LEFT(RIGHT("0000000000"&amp;請求内容入力シート!$C$14,8),1),"")</f>
        <v/>
      </c>
      <c r="L14" s="135" t="str">
        <f>IF(請求内容入力シート!$C$14&lt;&gt;"",LEFT(RIGHT("0000000000"&amp;請求内容入力シート!$C$14,7),1),"")</f>
        <v/>
      </c>
      <c r="M14" s="128" t="s">
        <v>117</v>
      </c>
      <c r="N14" s="133" t="str">
        <f>IF(請求内容入力シート!$C$14&lt;&gt;"",LEFT(RIGHT("0000000000"&amp;請求内容入力シート!$C$14,6),1),"")</f>
        <v/>
      </c>
      <c r="O14" s="134" t="str">
        <f>IF(請求内容入力シート!$C$14&lt;&gt;"",LEFT(RIGHT("0000000000"&amp;請求内容入力シート!$C$14,5),1),"")</f>
        <v/>
      </c>
      <c r="P14" s="134" t="str">
        <f>IF(請求内容入力シート!$C$14&lt;&gt;"",LEFT(RIGHT("0000000000"&amp;請求内容入力シート!$C$14,4),1),"")</f>
        <v/>
      </c>
      <c r="Q14" s="134" t="str">
        <f>IF(請求内容入力シート!$C$14&lt;&gt;"",LEFT(RIGHT("0000000000"&amp;請求内容入力シート!$C$14,3),1),"")</f>
        <v/>
      </c>
      <c r="R14" s="134" t="str">
        <f>IF(請求内容入力シート!$C$14&lt;&gt;"",LEFT(RIGHT("0000000000"&amp;請求内容入力シート!$C$14,2),1),"")</f>
        <v/>
      </c>
      <c r="S14" s="135" t="str">
        <f>IF(請求内容入力シート!$C$14&lt;&gt;"",LEFT(RIGHT("0000000000"&amp;請求内容入力シート!$C$14,1),1),"")</f>
        <v/>
      </c>
      <c r="T14" s="802" t="str">
        <f>IF(請求内容入力シート!$D$14&lt;&gt;"",請求内容入力シート!$D$14,"")</f>
        <v/>
      </c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170"/>
      <c r="AJ14" s="171"/>
      <c r="AK14" s="170"/>
      <c r="AL14" s="172"/>
      <c r="AM14" s="171"/>
      <c r="AN14" s="170"/>
      <c r="AO14" s="172"/>
      <c r="AP14" s="171"/>
    </row>
    <row r="15" spans="2:42" s="1" customFormat="1" ht="24.95" customHeight="1">
      <c r="B15" s="801"/>
      <c r="C15" s="805" t="str">
        <f>IF(I14&lt;&gt;"",パラメータ!$B$8&amp;"14","")</f>
        <v/>
      </c>
      <c r="D15" s="805"/>
      <c r="E15" s="805"/>
      <c r="F15" s="805"/>
      <c r="G15" s="805"/>
      <c r="H15" s="805"/>
      <c r="I15" s="806" t="s">
        <v>121</v>
      </c>
      <c r="J15" s="807"/>
      <c r="K15" s="807"/>
      <c r="L15" s="807"/>
      <c r="M15" s="807"/>
      <c r="N15" s="807"/>
      <c r="O15" s="807" t="s">
        <v>132</v>
      </c>
      <c r="P15" s="807"/>
      <c r="Q15" s="807"/>
      <c r="R15" s="807"/>
      <c r="S15" s="808"/>
      <c r="T15" s="706" t="str">
        <f>IF(請求内容入力シート!$E$14&lt;&gt;"",請求内容入力シート!$E$14,"")</f>
        <v/>
      </c>
      <c r="U15" s="707"/>
      <c r="V15" s="707"/>
      <c r="W15" s="707"/>
      <c r="X15" s="707"/>
      <c r="Y15" s="707"/>
      <c r="Z15" s="707"/>
      <c r="AA15" s="707"/>
      <c r="AB15" s="707"/>
      <c r="AC15" s="707"/>
      <c r="AD15" s="707"/>
      <c r="AE15" s="707"/>
      <c r="AF15" s="707"/>
      <c r="AG15" s="707"/>
      <c r="AH15" s="707"/>
      <c r="AI15" s="146" t="str">
        <f>IF(請求内容入力シート!$F$14&lt;&gt;"",LEFT(RIGHT("        "&amp;請求内容入力シート!$F$14,8),1),"")</f>
        <v/>
      </c>
      <c r="AJ15" s="145" t="str">
        <f>IF(請求内容入力シート!$F$14&lt;&gt;"",LEFT(RIGHT("        "&amp;請求内容入力シート!$F$14,7),1),"")</f>
        <v/>
      </c>
      <c r="AK15" s="263" t="str">
        <f>IF(請求内容入力シート!$F$14&lt;&gt;"",LEFT(RIGHT("        "&amp;請求内容入力シート!$F$14,6),1),"")</f>
        <v/>
      </c>
      <c r="AL15" s="264" t="str">
        <f>IF(請求内容入力シート!$F$14&lt;&gt;"",LEFT(RIGHT("        "&amp;請求内容入力シート!$F$14,5),1),"")</f>
        <v/>
      </c>
      <c r="AM15" s="265" t="str">
        <f>IF(請求内容入力シート!$F$14&lt;&gt;"",LEFT(RIGHT("        "&amp;請求内容入力シート!$F$14,4),1),"")</f>
        <v/>
      </c>
      <c r="AN15" s="263" t="str">
        <f>IF(請求内容入力シート!$F$14&lt;&gt;"",LEFT(RIGHT("        "&amp;請求内容入力シート!$F$14,3),1),"")</f>
        <v/>
      </c>
      <c r="AO15" s="264" t="str">
        <f>IF(請求内容入力シート!$F$14&lt;&gt;"",LEFT(RIGHT("        "&amp;請求内容入力シート!$F$14,2),1),"")</f>
        <v/>
      </c>
      <c r="AP15" s="265" t="str">
        <f>IF(請求内容入力シート!$F$14&lt;&gt;"",LEFT(RIGHT("        "&amp;請求内容入力シート!$F$14,1),1),"")</f>
        <v/>
      </c>
    </row>
    <row r="16" spans="2:42" s="1" customFormat="1" ht="24.95" customHeight="1" thickBot="1">
      <c r="B16" s="5"/>
      <c r="C16" s="5"/>
      <c r="D16" s="5"/>
      <c r="E16" s="5"/>
      <c r="F16" s="810" t="s">
        <v>22</v>
      </c>
      <c r="G16" s="810"/>
      <c r="H16" s="810"/>
      <c r="AD16" s="722" t="s">
        <v>5</v>
      </c>
      <c r="AE16" s="686"/>
      <c r="AF16" s="686"/>
      <c r="AG16" s="686"/>
      <c r="AH16" s="686"/>
      <c r="AI16" s="288" t="str">
        <f>IF(請求内容入力シート!$G$14&lt;&gt;"",LEFT(RIGHT("        "&amp;請求内容入力シート!$G$14,8),1),"")</f>
        <v/>
      </c>
      <c r="AJ16" s="289" t="str">
        <f>IF(請求内容入力シート!$G$14&lt;&gt;"",LEFT(RIGHT("        "&amp;請求内容入力シート!$G$14,7),1),"")</f>
        <v/>
      </c>
      <c r="AK16" s="288" t="str">
        <f>IF(請求内容入力シート!$G$14&lt;&gt;"",LEFT(RIGHT("        "&amp;請求内容入力シート!$G$14,6),1),"")</f>
        <v/>
      </c>
      <c r="AL16" s="290" t="str">
        <f>IF(請求内容入力シート!$G$14&lt;&gt;"",LEFT(RIGHT("        "&amp;請求内容入力シート!$G$14,5),1),"")</f>
        <v/>
      </c>
      <c r="AM16" s="289" t="str">
        <f>IF(請求内容入力シート!$G$14&lt;&gt;"",LEFT(RIGHT("        "&amp;請求内容入力シート!$G$14,4),1),"")</f>
        <v/>
      </c>
      <c r="AN16" s="288" t="str">
        <f>IF(請求内容入力シート!$G$14&lt;&gt;"",LEFT(RIGHT("        "&amp;請求内容入力シート!$G$14,3),1),"")</f>
        <v/>
      </c>
      <c r="AO16" s="290" t="str">
        <f>IF(請求内容入力シート!$G$14&lt;&gt;"",LEFT(RIGHT("        "&amp;請求内容入力シート!$G$14,2),1),"")</f>
        <v/>
      </c>
      <c r="AP16" s="289" t="str">
        <f>IF(請求内容入力シート!$G$14&lt;&gt;"",LEFT(RIGHT("        "&amp;請求内容入力シート!$G$14,1),1),"")</f>
        <v/>
      </c>
    </row>
    <row r="17" spans="1:42" s="1" customFormat="1" ht="24.95" customHeight="1" thickBot="1">
      <c r="A17" s="1" t="s">
        <v>3</v>
      </c>
      <c r="B17" s="811" t="s">
        <v>21</v>
      </c>
      <c r="C17" s="812"/>
      <c r="D17" s="812"/>
      <c r="E17" s="812"/>
      <c r="F17" s="180" t="str">
        <f>IF(請求内容入力シート!$C$14&lt;&gt;"",LEFT(RIGHT("00000000"&amp;請求内容入力シート!$O$13,8),1),"")</f>
        <v/>
      </c>
      <c r="G17" s="182" t="str">
        <f>IF(請求内容入力シート!$C$14&lt;&gt;"",LEFT(RIGHT("00000000"&amp;請求内容入力シート!$O$13,7),1),"")</f>
        <v/>
      </c>
      <c r="H17" s="182" t="str">
        <f>IF(請求内容入力シート!$C$14&lt;&gt;"",LEFT(RIGHT("00000000"&amp;請求内容入力シート!$O$13,6),1),"")</f>
        <v/>
      </c>
      <c r="I17" s="181" t="str">
        <f>IF(請求内容入力シート!$C$14&lt;&gt;"",LEFT(RIGHT("00000000"&amp;請求内容入力シート!$O$13,5),1),"")</f>
        <v/>
      </c>
      <c r="J17" s="6" t="s">
        <v>23</v>
      </c>
      <c r="K17" s="181" t="str">
        <f>IF(請求内容入力シート!$C$14&lt;&gt;"",LEFT(RIGHT("00000000"&amp;請求内容入力シート!$O$13,4),1),"")</f>
        <v/>
      </c>
      <c r="L17" s="183" t="str">
        <f>IF(請求内容入力シート!$C$14&lt;&gt;"",LEFT(RIGHT("00000000"&amp;請求内容入力シート!$O$13,3),1),"")</f>
        <v/>
      </c>
      <c r="M17" s="6" t="s">
        <v>24</v>
      </c>
      <c r="N17" s="181" t="str">
        <f>IF(請求内容入力シート!$C$14&lt;&gt;"",LEFT(RIGHT("00000000"&amp;請求内容入力シート!$O$13,2),1),"")</f>
        <v/>
      </c>
      <c r="O17" s="183" t="str">
        <f>IF(請求内容入力シート!$C$14&lt;&gt;"",LEFT(RIGHT("00000000"&amp;請求内容入力シート!$O$13,1),1),"")</f>
        <v/>
      </c>
      <c r="P17" s="6" t="s">
        <v>25</v>
      </c>
      <c r="Q17" s="6" t="s">
        <v>29</v>
      </c>
      <c r="R17" s="180" t="str">
        <f>IF(請求内容入力シート!$C$14&lt;&gt;"",LEFT(RIGHT("00000000"&amp;請求内容入力シート!$Q$13,8),1),"")</f>
        <v/>
      </c>
      <c r="S17" s="182" t="str">
        <f>IF(請求内容入力シート!$C$14&lt;&gt;"",LEFT(RIGHT("00000000"&amp;請求内容入力シート!$Q$13,7),1),"")</f>
        <v/>
      </c>
      <c r="T17" s="182" t="str">
        <f>IF(請求内容入力シート!$C$14&lt;&gt;"",LEFT(RIGHT("00000000"&amp;請求内容入力シート!$Q$13,6),1),"")</f>
        <v/>
      </c>
      <c r="U17" s="181" t="str">
        <f>IF(請求内容入力シート!$C$14&lt;&gt;"",LEFT(RIGHT("00000000"&amp;請求内容入力シート!$Q$13,5),1),"")</f>
        <v/>
      </c>
      <c r="V17" s="6" t="s">
        <v>23</v>
      </c>
      <c r="W17" s="181" t="str">
        <f>IF(請求内容入力シート!$C$14&lt;&gt;"",LEFT(RIGHT("00000000"&amp;請求内容入力シート!$Q$13,4),1),"")</f>
        <v/>
      </c>
      <c r="X17" s="183" t="str">
        <f>IF(請求内容入力シート!$C$14&lt;&gt;"",LEFT(RIGHT("00000000"&amp;請求内容入力シート!$Q$13,3),1),"")</f>
        <v/>
      </c>
      <c r="Y17" s="6" t="s">
        <v>24</v>
      </c>
      <c r="Z17" s="181" t="str">
        <f>IF(請求内容入力シート!$C$14&lt;&gt;"",LEFT(RIGHT("00000000"&amp;請求内容入力シート!$Q$13,2),1),"")</f>
        <v/>
      </c>
      <c r="AA17" s="183" t="str">
        <f>IF(請求内容入力シート!$C$14&lt;&gt;"",LEFT(RIGHT("00000000"&amp;請求内容入力シート!$Q$13,1),1),"")</f>
        <v/>
      </c>
      <c r="AB17" s="6" t="s">
        <v>118</v>
      </c>
      <c r="AC17" s="7"/>
      <c r="AD17" s="813" t="s">
        <v>6</v>
      </c>
      <c r="AE17" s="814"/>
      <c r="AF17" s="814"/>
      <c r="AG17" s="814"/>
      <c r="AH17" s="814"/>
      <c r="AI17" s="176" t="str">
        <f>IF(請求内容入力シート!$H$14&lt;&gt;"",LEFT(RIGHT("        "&amp;請求内容入力シート!$H$14,8),1),"")</f>
        <v xml:space="preserve"> </v>
      </c>
      <c r="AJ17" s="177" t="str">
        <f>IF(請求内容入力シート!$H$14&lt;&gt;"",LEFT(RIGHT("        "&amp;請求内容入力シート!$H$14,7),1),"")</f>
        <v xml:space="preserve"> </v>
      </c>
      <c r="AK17" s="176" t="str">
        <f>IF(請求内容入力シート!$H$14&lt;&gt;"",LEFT(RIGHT("        "&amp;請求内容入力シート!$H$14,6),1),"")</f>
        <v xml:space="preserve"> </v>
      </c>
      <c r="AL17" s="178" t="str">
        <f>IF(請求内容入力シート!$H$14&lt;&gt;"",LEFT(RIGHT("        "&amp;請求内容入力シート!$H$14,5),1),"")</f>
        <v xml:space="preserve"> </v>
      </c>
      <c r="AM17" s="177" t="str">
        <f>IF(請求内容入力シート!$H$14&lt;&gt;"",LEFT(RIGHT("        "&amp;請求内容入力シート!$H$14,4),1),"")</f>
        <v xml:space="preserve"> </v>
      </c>
      <c r="AN17" s="176" t="str">
        <f>IF(請求内容入力シート!$H$14&lt;&gt;"",LEFT(RIGHT("        "&amp;請求内容入力シート!$H$14,3),1),"")</f>
        <v xml:space="preserve"> </v>
      </c>
      <c r="AO17" s="178" t="str">
        <f>IF(請求内容入力シート!$H$14&lt;&gt;"",LEFT(RIGHT("        "&amp;請求内容入力シート!$H$14,2),1),"")</f>
        <v xml:space="preserve"> </v>
      </c>
      <c r="AP17" s="179" t="str">
        <f>IF(請求内容入力シート!$H$14&lt;&gt;"",LEFT(RIGHT("        "&amp;請求内容入力シート!$H$14,1),1),"")</f>
        <v>0</v>
      </c>
    </row>
    <row r="18" spans="1:42" s="1" customFormat="1" ht="50.1" customHeight="1">
      <c r="AE18" s="3"/>
      <c r="AF18" s="3"/>
      <c r="AG18" s="3"/>
      <c r="AH18" s="3"/>
    </row>
    <row r="19" spans="1:42" s="4" customFormat="1" ht="11.25">
      <c r="B19" s="783" t="s">
        <v>28</v>
      </c>
      <c r="C19" s="779" t="s">
        <v>14</v>
      </c>
      <c r="D19" s="779"/>
      <c r="E19" s="779"/>
      <c r="F19" s="779"/>
      <c r="G19" s="779"/>
      <c r="H19" s="779"/>
      <c r="I19" s="785" t="s">
        <v>27</v>
      </c>
      <c r="J19" s="786"/>
      <c r="K19" s="786"/>
      <c r="L19" s="786"/>
      <c r="M19" s="786"/>
      <c r="N19" s="786"/>
      <c r="O19" s="786"/>
      <c r="P19" s="786"/>
      <c r="Q19" s="786"/>
      <c r="R19" s="786"/>
      <c r="S19" s="787"/>
      <c r="T19" s="785" t="s">
        <v>16</v>
      </c>
      <c r="U19" s="786"/>
      <c r="V19" s="786"/>
      <c r="W19" s="786"/>
      <c r="X19" s="786"/>
      <c r="Y19" s="786"/>
      <c r="Z19" s="786"/>
      <c r="AA19" s="786"/>
      <c r="AB19" s="786"/>
      <c r="AC19" s="786"/>
      <c r="AD19" s="786"/>
      <c r="AE19" s="786"/>
      <c r="AF19" s="786"/>
      <c r="AG19" s="786"/>
      <c r="AH19" s="786"/>
      <c r="AI19" s="785" t="s">
        <v>2</v>
      </c>
      <c r="AJ19" s="786"/>
      <c r="AK19" s="786"/>
      <c r="AL19" s="786"/>
      <c r="AM19" s="786"/>
      <c r="AN19" s="786"/>
      <c r="AO19" s="786"/>
      <c r="AP19" s="787"/>
    </row>
    <row r="20" spans="1:42" s="4" customFormat="1" ht="11.25">
      <c r="B20" s="784"/>
      <c r="C20" s="780" t="s">
        <v>120</v>
      </c>
      <c r="D20" s="780"/>
      <c r="E20" s="780"/>
      <c r="F20" s="780"/>
      <c r="G20" s="780"/>
      <c r="H20" s="780"/>
      <c r="I20" s="785" t="s">
        <v>26</v>
      </c>
      <c r="J20" s="799"/>
      <c r="K20" s="799"/>
      <c r="L20" s="799"/>
      <c r="M20" s="799"/>
      <c r="N20" s="799"/>
      <c r="O20" s="799"/>
      <c r="P20" s="799"/>
      <c r="Q20" s="799"/>
      <c r="R20" s="799"/>
      <c r="S20" s="809"/>
      <c r="T20" s="785" t="s">
        <v>17</v>
      </c>
      <c r="U20" s="799"/>
      <c r="V20" s="799"/>
      <c r="W20" s="799"/>
      <c r="X20" s="799"/>
      <c r="Y20" s="799"/>
      <c r="Z20" s="799"/>
      <c r="AA20" s="799"/>
      <c r="AB20" s="799"/>
      <c r="AC20" s="799"/>
      <c r="AD20" s="799"/>
      <c r="AE20" s="799"/>
      <c r="AF20" s="799"/>
      <c r="AG20" s="799"/>
      <c r="AH20" s="799"/>
      <c r="AI20" s="793"/>
      <c r="AJ20" s="794"/>
      <c r="AK20" s="794"/>
      <c r="AL20" s="794"/>
      <c r="AM20" s="794"/>
      <c r="AN20" s="794"/>
      <c r="AO20" s="794"/>
      <c r="AP20" s="795"/>
    </row>
    <row r="21" spans="1:42" s="1" customFormat="1" ht="24.95" customHeight="1">
      <c r="B21" s="800">
        <v>2</v>
      </c>
      <c r="C21" s="804" t="str">
        <f>IF(I21&lt;&gt;"",パラメータ!$B$7,"")</f>
        <v/>
      </c>
      <c r="D21" s="804"/>
      <c r="E21" s="804"/>
      <c r="F21" s="804"/>
      <c r="G21" s="804"/>
      <c r="H21" s="804"/>
      <c r="I21" s="136" t="str">
        <f>IF(請求内容入力シート!$C$15&lt;&gt;"",LEFT(RIGHT("0000000000"&amp;請求内容入力シート!$C$15,10),1),"")</f>
        <v/>
      </c>
      <c r="J21" s="137" t="str">
        <f>IF(請求内容入力シート!$C$15&lt;&gt;"",LEFT(RIGHT("0000000000"&amp;請求内容入力シート!$C$15,9),1),"")</f>
        <v/>
      </c>
      <c r="K21" s="137" t="str">
        <f>IF(請求内容入力シート!$C$15&lt;&gt;"",LEFT(RIGHT("0000000000"&amp;請求内容入力シート!$C$15,8),1),"")</f>
        <v/>
      </c>
      <c r="L21" s="138" t="str">
        <f>IF(請求内容入力シート!$C$15&lt;&gt;"",LEFT(RIGHT("0000000000"&amp;請求内容入力シート!$C$15,7),1),"")</f>
        <v/>
      </c>
      <c r="M21" s="127" t="s">
        <v>117</v>
      </c>
      <c r="N21" s="136" t="str">
        <f>IF(請求内容入力シート!$C$15&lt;&gt;"",LEFT(RIGHT("0000000000"&amp;請求内容入力シート!$C$15,6),1),"")</f>
        <v/>
      </c>
      <c r="O21" s="137" t="str">
        <f>IF(請求内容入力シート!$C$15&lt;&gt;"",LEFT(RIGHT("0000000000"&amp;請求内容入力シート!$C$15,5),1),"")</f>
        <v/>
      </c>
      <c r="P21" s="137" t="str">
        <f>IF(請求内容入力シート!$C$15&lt;&gt;"",LEFT(RIGHT("0000000000"&amp;請求内容入力シート!$C$15,4),1),"")</f>
        <v/>
      </c>
      <c r="Q21" s="137" t="str">
        <f>IF(請求内容入力シート!$C$15&lt;&gt;"",LEFT(RIGHT("0000000000"&amp;請求内容入力シート!$C$15,3),1),"")</f>
        <v/>
      </c>
      <c r="R21" s="137" t="str">
        <f>IF(請求内容入力シート!$C$15&lt;&gt;"",LEFT(RIGHT("0000000000"&amp;請求内容入力シート!$C$15,2),1),"")</f>
        <v/>
      </c>
      <c r="S21" s="138" t="str">
        <f>IF(請求内容入力シート!$C$15&lt;&gt;"",LEFT(RIGHT("0000000000"&amp;請求内容入力シート!$C$15,1),1),"")</f>
        <v/>
      </c>
      <c r="T21" s="802" t="str">
        <f>IF(請求内容入力シート!$D$15&lt;&gt;"",請求内容入力シート!$D$15,"")</f>
        <v/>
      </c>
      <c r="U21" s="803"/>
      <c r="V21" s="803"/>
      <c r="W21" s="803"/>
      <c r="X21" s="803"/>
      <c r="Y21" s="803"/>
      <c r="Z21" s="803"/>
      <c r="AA21" s="803"/>
      <c r="AB21" s="803"/>
      <c r="AC21" s="803"/>
      <c r="AD21" s="803"/>
      <c r="AE21" s="803"/>
      <c r="AF21" s="803"/>
      <c r="AG21" s="803"/>
      <c r="AH21" s="803"/>
      <c r="AI21" s="170"/>
      <c r="AJ21" s="171"/>
      <c r="AK21" s="170"/>
      <c r="AL21" s="172"/>
      <c r="AM21" s="171"/>
      <c r="AN21" s="170"/>
      <c r="AO21" s="172"/>
      <c r="AP21" s="171"/>
    </row>
    <row r="22" spans="1:42" s="1" customFormat="1" ht="24.95" customHeight="1">
      <c r="B22" s="801"/>
      <c r="C22" s="805" t="str">
        <f>IF(I21&lt;&gt;"",パラメータ!$B$8&amp;"15","")</f>
        <v/>
      </c>
      <c r="D22" s="805"/>
      <c r="E22" s="805"/>
      <c r="F22" s="805"/>
      <c r="G22" s="805"/>
      <c r="H22" s="805"/>
      <c r="I22" s="806" t="s">
        <v>121</v>
      </c>
      <c r="J22" s="807"/>
      <c r="K22" s="807"/>
      <c r="L22" s="807"/>
      <c r="M22" s="807"/>
      <c r="N22" s="807"/>
      <c r="O22" s="807" t="s">
        <v>132</v>
      </c>
      <c r="P22" s="807"/>
      <c r="Q22" s="807"/>
      <c r="R22" s="807"/>
      <c r="S22" s="808"/>
      <c r="T22" s="706" t="str">
        <f>IF(請求内容入力シート!$E$15&lt;&gt;"",請求内容入力シート!$E$15,"")</f>
        <v/>
      </c>
      <c r="U22" s="707"/>
      <c r="V22" s="707"/>
      <c r="W22" s="707"/>
      <c r="X22" s="707"/>
      <c r="Y22" s="707"/>
      <c r="Z22" s="707"/>
      <c r="AA22" s="707"/>
      <c r="AB22" s="707"/>
      <c r="AC22" s="707"/>
      <c r="AD22" s="707"/>
      <c r="AE22" s="707"/>
      <c r="AF22" s="707"/>
      <c r="AG22" s="707"/>
      <c r="AH22" s="707"/>
      <c r="AI22" s="146" t="str">
        <f>IF(請求内容入力シート!$F$15&lt;&gt;"",LEFT(RIGHT("        "&amp;請求内容入力シート!$F$15,8),1),"")</f>
        <v/>
      </c>
      <c r="AJ22" s="145" t="str">
        <f>IF(請求内容入力シート!$F$15&lt;&gt;"",LEFT(RIGHT("        "&amp;請求内容入力シート!$F$15,7),1),"")</f>
        <v/>
      </c>
      <c r="AK22" s="146" t="str">
        <f>IF(請求内容入力シート!$F$15&lt;&gt;"",LEFT(RIGHT("        "&amp;請求内容入力シート!$F$15,6),1),"")</f>
        <v/>
      </c>
      <c r="AL22" s="147" t="str">
        <f>IF(請求内容入力シート!$F$15&lt;&gt;"",LEFT(RIGHT("        "&amp;請求内容入力シート!$F$15,5),1),"")</f>
        <v/>
      </c>
      <c r="AM22" s="145" t="str">
        <f>IF(請求内容入力シート!$F$15&lt;&gt;"",LEFT(RIGHT("        "&amp;請求内容入力シート!$F$15,4),1),"")</f>
        <v/>
      </c>
      <c r="AN22" s="146" t="str">
        <f>IF(請求内容入力シート!$F$15&lt;&gt;"",LEFT(RIGHT("        "&amp;請求内容入力シート!$F$15,3),1),"")</f>
        <v/>
      </c>
      <c r="AO22" s="147" t="str">
        <f>IF(請求内容入力シート!$F$15&lt;&gt;"",LEFT(RIGHT("        "&amp;請求内容入力シート!$F$15,2),1),"")</f>
        <v/>
      </c>
      <c r="AP22" s="145" t="str">
        <f>IF(請求内容入力シート!$F$15&lt;&gt;"",LEFT(RIGHT("        "&amp;請求内容入力シート!$F$15,1),1),"")</f>
        <v/>
      </c>
    </row>
    <row r="23" spans="1:42" s="1" customFormat="1" ht="24.95" customHeight="1" thickBot="1">
      <c r="B23" s="5"/>
      <c r="C23" s="5"/>
      <c r="D23" s="5"/>
      <c r="E23" s="5"/>
      <c r="F23" s="810" t="s">
        <v>22</v>
      </c>
      <c r="G23" s="810"/>
      <c r="H23" s="810"/>
      <c r="AD23" s="722" t="s">
        <v>5</v>
      </c>
      <c r="AE23" s="686"/>
      <c r="AF23" s="686"/>
      <c r="AG23" s="686"/>
      <c r="AH23" s="686"/>
      <c r="AI23" s="146" t="str">
        <f>IF(請求内容入力シート!$G$15&lt;&gt;"",LEFT(RIGHT("        "&amp;請求内容入力シート!$G$15,8),1),"")</f>
        <v/>
      </c>
      <c r="AJ23" s="145" t="str">
        <f>IF(請求内容入力シート!$G$15&lt;&gt;"",LEFT(RIGHT("        "&amp;請求内容入力シート!$G$15,7),1),"")</f>
        <v/>
      </c>
      <c r="AK23" s="146" t="str">
        <f>IF(請求内容入力シート!$G$15&lt;&gt;"",LEFT(RIGHT("        "&amp;請求内容入力シート!$G$15,6),1),"")</f>
        <v/>
      </c>
      <c r="AL23" s="147" t="str">
        <f>IF(請求内容入力シート!$G$15&lt;&gt;"",LEFT(RIGHT("        "&amp;請求内容入力シート!$G$15,5),1),"")</f>
        <v/>
      </c>
      <c r="AM23" s="145" t="str">
        <f>IF(請求内容入力シート!$G$15&lt;&gt;"",LEFT(RIGHT("        "&amp;請求内容入力シート!$G$15,4),1),"")</f>
        <v/>
      </c>
      <c r="AN23" s="146" t="str">
        <f>IF(請求内容入力シート!$G$15&lt;&gt;"",LEFT(RIGHT("        "&amp;請求内容入力シート!$G$15,3),1),"")</f>
        <v/>
      </c>
      <c r="AO23" s="147" t="str">
        <f>IF(請求内容入力シート!$G$15&lt;&gt;"",LEFT(RIGHT("        "&amp;請求内容入力シート!$G$15,2),1),"")</f>
        <v/>
      </c>
      <c r="AP23" s="145" t="str">
        <f>IF(請求内容入力シート!$G$15&lt;&gt;"",LEFT(RIGHT("        "&amp;請求内容入力シート!$G$15,1),1),"")</f>
        <v/>
      </c>
    </row>
    <row r="24" spans="1:42" s="1" customFormat="1" ht="24.95" customHeight="1" thickBot="1">
      <c r="A24" s="1" t="s">
        <v>3</v>
      </c>
      <c r="B24" s="811" t="s">
        <v>21</v>
      </c>
      <c r="C24" s="812"/>
      <c r="D24" s="812"/>
      <c r="E24" s="812"/>
      <c r="F24" s="180" t="str">
        <f>IF(請求内容入力シート!$C$15&lt;&gt;"",LEFT(RIGHT("00000000"&amp;請求内容入力シート!$O$13,8),1),"")</f>
        <v/>
      </c>
      <c r="G24" s="182" t="str">
        <f>IF(請求内容入力シート!$C$15&lt;&gt;"",LEFT(RIGHT("00000000"&amp;請求内容入力シート!$O$13,7),1),"")</f>
        <v/>
      </c>
      <c r="H24" s="182" t="str">
        <f>IF(請求内容入力シート!$C$15&lt;&gt;"",LEFT(RIGHT("00000000"&amp;請求内容入力シート!$O$13,6),1),"")</f>
        <v/>
      </c>
      <c r="I24" s="181" t="str">
        <f>IF(請求内容入力シート!$C$15&lt;&gt;"",LEFT(RIGHT("00000000"&amp;請求内容入力シート!$O$13,5),1),"")</f>
        <v/>
      </c>
      <c r="J24" s="6" t="s">
        <v>23</v>
      </c>
      <c r="K24" s="181" t="str">
        <f>IF(請求内容入力シート!$C$15&lt;&gt;"",LEFT(RIGHT("00000000"&amp;請求内容入力シート!$O$13,4),1),"")</f>
        <v/>
      </c>
      <c r="L24" s="183" t="str">
        <f>IF(請求内容入力シート!$C$15&lt;&gt;"",LEFT(RIGHT("00000000"&amp;請求内容入力シート!$O$13,3),1),"")</f>
        <v/>
      </c>
      <c r="M24" s="6" t="s">
        <v>24</v>
      </c>
      <c r="N24" s="181" t="str">
        <f>IF(請求内容入力シート!$C$15&lt;&gt;"",LEFT(RIGHT("00000000"&amp;請求内容入力シート!$O$13,2),1),"")</f>
        <v/>
      </c>
      <c r="O24" s="183" t="str">
        <f>IF(請求内容入力シート!$C$15&lt;&gt;"",LEFT(RIGHT("00000000"&amp;請求内容入力シート!$O$13,1),1),"")</f>
        <v/>
      </c>
      <c r="P24" s="6" t="s">
        <v>25</v>
      </c>
      <c r="Q24" s="6" t="s">
        <v>29</v>
      </c>
      <c r="R24" s="180" t="str">
        <f>IF(請求内容入力シート!$C$15&lt;&gt;"",LEFT(RIGHT("00000000"&amp;請求内容入力シート!$Q$13,8),1),"")</f>
        <v/>
      </c>
      <c r="S24" s="182" t="str">
        <f>IF(請求内容入力シート!$C$15&lt;&gt;"",LEFT(RIGHT("00000000"&amp;請求内容入力シート!$Q$13,7),1),"")</f>
        <v/>
      </c>
      <c r="T24" s="182" t="str">
        <f>IF(請求内容入力シート!$C$15&lt;&gt;"",LEFT(RIGHT("00000000"&amp;請求内容入力シート!$Q$13,6),1),"")</f>
        <v/>
      </c>
      <c r="U24" s="181" t="str">
        <f>IF(請求内容入力シート!$C$15&lt;&gt;"",LEFT(RIGHT("00000000"&amp;請求内容入力シート!$Q$13,5),1),"")</f>
        <v/>
      </c>
      <c r="V24" s="6" t="s">
        <v>23</v>
      </c>
      <c r="W24" s="181" t="str">
        <f>IF(請求内容入力シート!$C$15&lt;&gt;"",LEFT(RIGHT("00000000"&amp;請求内容入力シート!$Q$13,4),1),"")</f>
        <v/>
      </c>
      <c r="X24" s="183" t="str">
        <f>IF(請求内容入力シート!$C$15&lt;&gt;"",LEFT(RIGHT("00000000"&amp;請求内容入力シート!$Q$13,3),1),"")</f>
        <v/>
      </c>
      <c r="Y24" s="6" t="s">
        <v>24</v>
      </c>
      <c r="Z24" s="181" t="str">
        <f>IF(請求内容入力シート!$C$15&lt;&gt;"",LEFT(RIGHT("00000000"&amp;請求内容入力シート!$Q$13,2),1),"")</f>
        <v/>
      </c>
      <c r="AA24" s="183" t="str">
        <f>IF(請求内容入力シート!$C$15&lt;&gt;"",LEFT(RIGHT("00000000"&amp;請求内容入力シート!$Q$13,1),1),"")</f>
        <v/>
      </c>
      <c r="AB24" s="6" t="s">
        <v>118</v>
      </c>
      <c r="AC24" s="7"/>
      <c r="AD24" s="813" t="s">
        <v>6</v>
      </c>
      <c r="AE24" s="814"/>
      <c r="AF24" s="814"/>
      <c r="AG24" s="814"/>
      <c r="AH24" s="814"/>
      <c r="AI24" s="176" t="str">
        <f>IF(請求内容入力シート!$H$15&lt;&gt;"",LEFT(RIGHT("        "&amp;請求内容入力シート!$H$15,8),1),"")</f>
        <v xml:space="preserve"> </v>
      </c>
      <c r="AJ24" s="177" t="str">
        <f>IF(請求内容入力シート!$H$15&lt;&gt;"",LEFT(RIGHT("        "&amp;請求内容入力シート!$H$15,7),1),"")</f>
        <v xml:space="preserve"> </v>
      </c>
      <c r="AK24" s="176" t="str">
        <f>IF(請求内容入力シート!$H$15&lt;&gt;"",LEFT(RIGHT("        "&amp;請求内容入力シート!$H$15,6),1),"")</f>
        <v xml:space="preserve"> </v>
      </c>
      <c r="AL24" s="178" t="str">
        <f>IF(請求内容入力シート!$H$15&lt;&gt;"",LEFT(RIGHT("        "&amp;請求内容入力シート!$H$15,5),1),"")</f>
        <v xml:space="preserve"> </v>
      </c>
      <c r="AM24" s="177" t="str">
        <f>IF(請求内容入力シート!$H$15&lt;&gt;"",LEFT(RIGHT("        "&amp;請求内容入力シート!$H$15,4),1),"")</f>
        <v xml:space="preserve"> </v>
      </c>
      <c r="AN24" s="176" t="str">
        <f>IF(請求内容入力シート!$H$15&lt;&gt;"",LEFT(RIGHT("        "&amp;請求内容入力シート!$H$15,3),1),"")</f>
        <v xml:space="preserve"> </v>
      </c>
      <c r="AO24" s="178" t="str">
        <f>IF(請求内容入力シート!$H$15&lt;&gt;"",LEFT(RIGHT("        "&amp;請求内容入力シート!$H$15,2),1),"")</f>
        <v xml:space="preserve"> </v>
      </c>
      <c r="AP24" s="179" t="str">
        <f>IF(請求内容入力シート!$H$15&lt;&gt;"",LEFT(RIGHT("        "&amp;請求内容入力シート!$H$15,1),1),"")</f>
        <v>0</v>
      </c>
    </row>
    <row r="25" spans="1:42" s="1" customFormat="1" ht="50.1" customHeight="1">
      <c r="AE25" s="3"/>
      <c r="AF25" s="3"/>
      <c r="AG25" s="3"/>
      <c r="AH25" s="3"/>
    </row>
    <row r="26" spans="1:42" s="4" customFormat="1" ht="11.25">
      <c r="B26" s="783" t="s">
        <v>28</v>
      </c>
      <c r="C26" s="779" t="s">
        <v>14</v>
      </c>
      <c r="D26" s="779"/>
      <c r="E26" s="779"/>
      <c r="F26" s="779"/>
      <c r="G26" s="779"/>
      <c r="H26" s="779"/>
      <c r="I26" s="785" t="s">
        <v>27</v>
      </c>
      <c r="J26" s="786"/>
      <c r="K26" s="786"/>
      <c r="L26" s="786"/>
      <c r="M26" s="786"/>
      <c r="N26" s="786"/>
      <c r="O26" s="786"/>
      <c r="P26" s="786"/>
      <c r="Q26" s="786"/>
      <c r="R26" s="786"/>
      <c r="S26" s="787"/>
      <c r="T26" s="785" t="s">
        <v>16</v>
      </c>
      <c r="U26" s="786"/>
      <c r="V26" s="786"/>
      <c r="W26" s="786"/>
      <c r="X26" s="786"/>
      <c r="Y26" s="786"/>
      <c r="Z26" s="786"/>
      <c r="AA26" s="786"/>
      <c r="AB26" s="786"/>
      <c r="AC26" s="786"/>
      <c r="AD26" s="786"/>
      <c r="AE26" s="786"/>
      <c r="AF26" s="786"/>
      <c r="AG26" s="786"/>
      <c r="AH26" s="786"/>
      <c r="AI26" s="785" t="s">
        <v>2</v>
      </c>
      <c r="AJ26" s="786"/>
      <c r="AK26" s="786"/>
      <c r="AL26" s="786"/>
      <c r="AM26" s="786"/>
      <c r="AN26" s="786"/>
      <c r="AO26" s="786"/>
      <c r="AP26" s="787"/>
    </row>
    <row r="27" spans="1:42" s="4" customFormat="1" ht="11.25">
      <c r="B27" s="784"/>
      <c r="C27" s="780" t="s">
        <v>120</v>
      </c>
      <c r="D27" s="780"/>
      <c r="E27" s="780"/>
      <c r="F27" s="780"/>
      <c r="G27" s="780"/>
      <c r="H27" s="780"/>
      <c r="I27" s="785" t="s">
        <v>26</v>
      </c>
      <c r="J27" s="799"/>
      <c r="K27" s="799"/>
      <c r="L27" s="799"/>
      <c r="M27" s="799"/>
      <c r="N27" s="799"/>
      <c r="O27" s="799"/>
      <c r="P27" s="799"/>
      <c r="Q27" s="799"/>
      <c r="R27" s="799"/>
      <c r="S27" s="809"/>
      <c r="T27" s="785" t="s">
        <v>17</v>
      </c>
      <c r="U27" s="799"/>
      <c r="V27" s="799"/>
      <c r="W27" s="799"/>
      <c r="X27" s="799"/>
      <c r="Y27" s="799"/>
      <c r="Z27" s="799"/>
      <c r="AA27" s="799"/>
      <c r="AB27" s="799"/>
      <c r="AC27" s="799"/>
      <c r="AD27" s="799"/>
      <c r="AE27" s="799"/>
      <c r="AF27" s="799"/>
      <c r="AG27" s="799"/>
      <c r="AH27" s="799"/>
      <c r="AI27" s="793"/>
      <c r="AJ27" s="794"/>
      <c r="AK27" s="794"/>
      <c r="AL27" s="794"/>
      <c r="AM27" s="794"/>
      <c r="AN27" s="794"/>
      <c r="AO27" s="794"/>
      <c r="AP27" s="795"/>
    </row>
    <row r="28" spans="1:42" s="1" customFormat="1" ht="24.95" customHeight="1">
      <c r="B28" s="800">
        <v>3</v>
      </c>
      <c r="C28" s="804" t="str">
        <f>IF(I28&lt;&gt;"",パラメータ!$B$7,"")</f>
        <v/>
      </c>
      <c r="D28" s="804"/>
      <c r="E28" s="804"/>
      <c r="F28" s="804"/>
      <c r="G28" s="804"/>
      <c r="H28" s="804"/>
      <c r="I28" s="136" t="str">
        <f>IF(請求内容入力シート!$C$16&lt;&gt;"",LEFT(RIGHT("0000000000"&amp;請求内容入力シート!$C$16,10),1),"")</f>
        <v/>
      </c>
      <c r="J28" s="137" t="str">
        <f>IF(請求内容入力シート!$C$16&lt;&gt;"",LEFT(RIGHT("0000000000"&amp;請求内容入力シート!$C$16,9),1),"")</f>
        <v/>
      </c>
      <c r="K28" s="137" t="str">
        <f>IF(請求内容入力シート!$C$16&lt;&gt;"",LEFT(RIGHT("0000000000"&amp;請求内容入力シート!$C$16,8),1),"")</f>
        <v/>
      </c>
      <c r="L28" s="138" t="str">
        <f>IF(請求内容入力シート!$C$16&lt;&gt;"",LEFT(RIGHT("0000000000"&amp;請求内容入力シート!$C$16,7),1),"")</f>
        <v/>
      </c>
      <c r="M28" s="127" t="s">
        <v>117</v>
      </c>
      <c r="N28" s="136" t="str">
        <f>IF(請求内容入力シート!$C$16&lt;&gt;"",LEFT(RIGHT("0000000000"&amp;請求内容入力シート!$C$16,6),1),"")</f>
        <v/>
      </c>
      <c r="O28" s="137" t="str">
        <f>IF(請求内容入力シート!$C$16&lt;&gt;"",LEFT(RIGHT("0000000000"&amp;請求内容入力シート!$C$16,5),1),"")</f>
        <v/>
      </c>
      <c r="P28" s="137" t="str">
        <f>IF(請求内容入力シート!$C$16&lt;&gt;"",LEFT(RIGHT("0000000000"&amp;請求内容入力シート!$C$16,4),1),"")</f>
        <v/>
      </c>
      <c r="Q28" s="137" t="str">
        <f>IF(請求内容入力シート!$C$16&lt;&gt;"",LEFT(RIGHT("0000000000"&amp;請求内容入力シート!$C$16,3),1),"")</f>
        <v/>
      </c>
      <c r="R28" s="137" t="str">
        <f>IF(請求内容入力シート!$C$16&lt;&gt;"",LEFT(RIGHT("0000000000"&amp;請求内容入力シート!$C$16,2),1),"")</f>
        <v/>
      </c>
      <c r="S28" s="138" t="str">
        <f>IF(請求内容入力シート!$C$16&lt;&gt;"",LEFT(RIGHT("0000000000"&amp;請求内容入力シート!$C$16,1),1),"")</f>
        <v/>
      </c>
      <c r="T28" s="802" t="str">
        <f>IF(請求内容入力シート!$D$16&lt;&gt;"",請求内容入力シート!$D$16,"")</f>
        <v/>
      </c>
      <c r="U28" s="803"/>
      <c r="V28" s="803"/>
      <c r="W28" s="803"/>
      <c r="X28" s="803"/>
      <c r="Y28" s="803"/>
      <c r="Z28" s="803"/>
      <c r="AA28" s="803"/>
      <c r="AB28" s="803"/>
      <c r="AC28" s="803"/>
      <c r="AD28" s="803"/>
      <c r="AE28" s="803"/>
      <c r="AF28" s="803"/>
      <c r="AG28" s="803"/>
      <c r="AH28" s="803"/>
      <c r="AI28" s="170"/>
      <c r="AJ28" s="171"/>
      <c r="AK28" s="170"/>
      <c r="AL28" s="172"/>
      <c r="AM28" s="171"/>
      <c r="AN28" s="170"/>
      <c r="AO28" s="172"/>
      <c r="AP28" s="171"/>
    </row>
    <row r="29" spans="1:42" s="1" customFormat="1" ht="24.95" customHeight="1">
      <c r="B29" s="801"/>
      <c r="C29" s="805" t="str">
        <f>IF(I28&lt;&gt;"",パラメータ!$B$8&amp;"16","")</f>
        <v/>
      </c>
      <c r="D29" s="805"/>
      <c r="E29" s="805"/>
      <c r="F29" s="805"/>
      <c r="G29" s="805"/>
      <c r="H29" s="805"/>
      <c r="I29" s="806" t="s">
        <v>121</v>
      </c>
      <c r="J29" s="807"/>
      <c r="K29" s="807"/>
      <c r="L29" s="807"/>
      <c r="M29" s="807"/>
      <c r="N29" s="807"/>
      <c r="O29" s="807" t="s">
        <v>132</v>
      </c>
      <c r="P29" s="807"/>
      <c r="Q29" s="807"/>
      <c r="R29" s="807"/>
      <c r="S29" s="808"/>
      <c r="T29" s="706" t="str">
        <f>IF(請求内容入力シート!$E$16&lt;&gt;"",請求内容入力シート!$E$16,"")</f>
        <v/>
      </c>
      <c r="U29" s="707"/>
      <c r="V29" s="707"/>
      <c r="W29" s="707"/>
      <c r="X29" s="707"/>
      <c r="Y29" s="707"/>
      <c r="Z29" s="707"/>
      <c r="AA29" s="707"/>
      <c r="AB29" s="707"/>
      <c r="AC29" s="707"/>
      <c r="AD29" s="707"/>
      <c r="AE29" s="707"/>
      <c r="AF29" s="707"/>
      <c r="AG29" s="707"/>
      <c r="AH29" s="707"/>
      <c r="AI29" s="146" t="str">
        <f>IF(請求内容入力シート!$F$16&lt;&gt;"",LEFT(RIGHT("        "&amp;請求内容入力シート!$F$16,8),1),"")</f>
        <v/>
      </c>
      <c r="AJ29" s="145" t="str">
        <f>IF(請求内容入力シート!$F$16&lt;&gt;"",LEFT(RIGHT("        "&amp;請求内容入力シート!$F$16,7),1),"")</f>
        <v/>
      </c>
      <c r="AK29" s="146" t="str">
        <f>IF(請求内容入力シート!$F$16&lt;&gt;"",LEFT(RIGHT("        "&amp;請求内容入力シート!$F$16,6),1),"")</f>
        <v/>
      </c>
      <c r="AL29" s="147" t="str">
        <f>IF(請求内容入力シート!$F$16&lt;&gt;"",LEFT(RIGHT("        "&amp;請求内容入力シート!$F$16,5),1),"")</f>
        <v/>
      </c>
      <c r="AM29" s="145" t="str">
        <f>IF(請求内容入力シート!$F$16&lt;&gt;"",LEFT(RIGHT("        "&amp;請求内容入力シート!$F$16,4),1),"")</f>
        <v/>
      </c>
      <c r="AN29" s="146" t="str">
        <f>IF(請求内容入力シート!$F$16&lt;&gt;"",LEFT(RIGHT("        "&amp;請求内容入力シート!$F$16,3),1),"")</f>
        <v/>
      </c>
      <c r="AO29" s="147" t="str">
        <f>IF(請求内容入力シート!$F$16&lt;&gt;"",LEFT(RIGHT("        "&amp;請求内容入力シート!$F$16,2),1),"")</f>
        <v/>
      </c>
      <c r="AP29" s="145" t="str">
        <f>IF(請求内容入力シート!$F$16&lt;&gt;"",LEFT(RIGHT("        "&amp;請求内容入力シート!$F$16,1),1),"")</f>
        <v/>
      </c>
    </row>
    <row r="30" spans="1:42" s="1" customFormat="1" ht="22.5" customHeight="1" thickBot="1">
      <c r="B30" s="5"/>
      <c r="C30" s="5"/>
      <c r="D30" s="5"/>
      <c r="E30" s="5"/>
      <c r="F30" s="810" t="s">
        <v>22</v>
      </c>
      <c r="G30" s="810"/>
      <c r="H30" s="810"/>
      <c r="AD30" s="722" t="s">
        <v>5</v>
      </c>
      <c r="AE30" s="686"/>
      <c r="AF30" s="686"/>
      <c r="AG30" s="686"/>
      <c r="AH30" s="686"/>
      <c r="AI30" s="170" t="str">
        <f>IF(請求内容入力シート!$G$16&lt;&gt;"",LEFT(RIGHT("        "&amp;請求内容入力シート!$G$16,8),1),"")</f>
        <v/>
      </c>
      <c r="AJ30" s="171" t="str">
        <f>IF(請求内容入力シート!$G$16&lt;&gt;"",LEFT(RIGHT("        "&amp;請求内容入力シート!$G$16,7),1),"")</f>
        <v/>
      </c>
      <c r="AK30" s="170" t="str">
        <f>IF(請求内容入力シート!$G$16&lt;&gt;"",LEFT(RIGHT("        "&amp;請求内容入力シート!$G$16,6),1),"")</f>
        <v/>
      </c>
      <c r="AL30" s="172" t="str">
        <f>IF(請求内容入力シート!$G$16&lt;&gt;"",LEFT(RIGHT("        "&amp;請求内容入力シート!$G$16,5),1),"")</f>
        <v/>
      </c>
      <c r="AM30" s="171" t="str">
        <f>IF(請求内容入力シート!$G$16&lt;&gt;"",LEFT(RIGHT("        "&amp;請求内容入力シート!$G$16,4),1),"")</f>
        <v/>
      </c>
      <c r="AN30" s="170" t="str">
        <f>IF(請求内容入力シート!$G$16&lt;&gt;"",LEFT(RIGHT("        "&amp;請求内容入力シート!$G$16,3),1),"")</f>
        <v/>
      </c>
      <c r="AO30" s="172" t="str">
        <f>IF(請求内容入力シート!$G$16&lt;&gt;"",LEFT(RIGHT("        "&amp;請求内容入力シート!$G$16,2),1),"")</f>
        <v/>
      </c>
      <c r="AP30" s="171" t="str">
        <f>IF(請求内容入力シート!$G$16&lt;&gt;"",LEFT(RIGHT("        "&amp;請求内容入力シート!$G$16,1),1),"")</f>
        <v/>
      </c>
    </row>
    <row r="31" spans="1:42" s="1" customFormat="1" ht="24.95" customHeight="1" thickBot="1">
      <c r="A31" s="1" t="s">
        <v>3</v>
      </c>
      <c r="B31" s="811" t="s">
        <v>21</v>
      </c>
      <c r="C31" s="812"/>
      <c r="D31" s="812"/>
      <c r="E31" s="812"/>
      <c r="F31" s="180" t="str">
        <f>IF(請求内容入力シート!$C$16&lt;&gt;"",LEFT(RIGHT("00000000"&amp;請求内容入力シート!$O$13,8),1),"")</f>
        <v/>
      </c>
      <c r="G31" s="182" t="str">
        <f>IF(請求内容入力シート!$C$16&lt;&gt;"",LEFT(RIGHT("00000000"&amp;請求内容入力シート!$O$13,7),1),"")</f>
        <v/>
      </c>
      <c r="H31" s="182" t="str">
        <f>IF(請求内容入力シート!$C$16&lt;&gt;"",LEFT(RIGHT("00000000"&amp;請求内容入力シート!$O$13,6),1),"")</f>
        <v/>
      </c>
      <c r="I31" s="181" t="str">
        <f>IF(請求内容入力シート!$C$16&lt;&gt;"",LEFT(RIGHT("00000000"&amp;請求内容入力シート!$O$13,5),1),"")</f>
        <v/>
      </c>
      <c r="J31" s="6" t="s">
        <v>23</v>
      </c>
      <c r="K31" s="181" t="str">
        <f>IF(請求内容入力シート!$C$16&lt;&gt;"",LEFT(RIGHT("00000000"&amp;請求内容入力シート!$O$13,4),1),"")</f>
        <v/>
      </c>
      <c r="L31" s="183" t="str">
        <f>IF(請求内容入力シート!$C$16&lt;&gt;"",LEFT(RIGHT("00000000"&amp;請求内容入力シート!$O$13,3),1),"")</f>
        <v/>
      </c>
      <c r="M31" s="6" t="s">
        <v>24</v>
      </c>
      <c r="N31" s="181" t="str">
        <f>IF(請求内容入力シート!$C$16&lt;&gt;"",LEFT(RIGHT("00000000"&amp;請求内容入力シート!$O$13,2),1),"")</f>
        <v/>
      </c>
      <c r="O31" s="183" t="str">
        <f>IF(請求内容入力シート!$C$16&lt;&gt;"",LEFT(RIGHT("00000000"&amp;請求内容入力シート!$O$13,1),1),"")</f>
        <v/>
      </c>
      <c r="P31" s="6" t="s">
        <v>25</v>
      </c>
      <c r="Q31" s="6" t="s">
        <v>29</v>
      </c>
      <c r="R31" s="180" t="str">
        <f>IF(請求内容入力シート!$C$16&lt;&gt;"",LEFT(RIGHT("00000000"&amp;請求内容入力シート!$Q$13,8),1),"")</f>
        <v/>
      </c>
      <c r="S31" s="182" t="str">
        <f>IF(請求内容入力シート!$C$16&lt;&gt;"",LEFT(RIGHT("00000000"&amp;請求内容入力シート!$Q$13,7),1),"")</f>
        <v/>
      </c>
      <c r="T31" s="182" t="str">
        <f>IF(請求内容入力シート!$C$16&lt;&gt;"",LEFT(RIGHT("00000000"&amp;請求内容入力シート!$Q$13,6),1),"")</f>
        <v/>
      </c>
      <c r="U31" s="181" t="str">
        <f>IF(請求内容入力シート!$C$16&lt;&gt;"",LEFT(RIGHT("00000000"&amp;請求内容入力シート!$Q$13,5),1),"")</f>
        <v/>
      </c>
      <c r="V31" s="6" t="s">
        <v>23</v>
      </c>
      <c r="W31" s="181" t="str">
        <f>IF(請求内容入力シート!$C$16&lt;&gt;"",LEFT(RIGHT("00000000"&amp;請求内容入力シート!$Q$13,4),1),"")</f>
        <v/>
      </c>
      <c r="X31" s="183" t="str">
        <f>IF(請求内容入力シート!$C$16&lt;&gt;"",LEFT(RIGHT("00000000"&amp;請求内容入力シート!$Q$13,3),1),"")</f>
        <v/>
      </c>
      <c r="Y31" s="6" t="s">
        <v>24</v>
      </c>
      <c r="Z31" s="181" t="str">
        <f>IF(請求内容入力シート!$C$16&lt;&gt;"",LEFT(RIGHT("00000000"&amp;請求内容入力シート!$Q$13,2),1),"")</f>
        <v/>
      </c>
      <c r="AA31" s="183" t="str">
        <f>IF(請求内容入力シート!$C$16&lt;&gt;"",LEFT(RIGHT("00000000"&amp;請求内容入力シート!$Q$13,1),1),"")</f>
        <v/>
      </c>
      <c r="AB31" s="6" t="s">
        <v>118</v>
      </c>
      <c r="AC31" s="7"/>
      <c r="AD31" s="813" t="s">
        <v>6</v>
      </c>
      <c r="AE31" s="814"/>
      <c r="AF31" s="814"/>
      <c r="AG31" s="814"/>
      <c r="AH31" s="814"/>
      <c r="AI31" s="176" t="str">
        <f>IF(請求内容入力シート!$H$16&lt;&gt;"",LEFT(RIGHT("        "&amp;請求内容入力シート!$H$16,8),1),"")</f>
        <v xml:space="preserve"> </v>
      </c>
      <c r="AJ31" s="177" t="str">
        <f>IF(請求内容入力シート!$H$16&lt;&gt;"",LEFT(RIGHT("        "&amp;請求内容入力シート!$H$16,7),1),"")</f>
        <v xml:space="preserve"> </v>
      </c>
      <c r="AK31" s="176" t="str">
        <f>IF(請求内容入力シート!$H$16&lt;&gt;"",LEFT(RIGHT("        "&amp;請求内容入力シート!$H$16,6),1),"")</f>
        <v xml:space="preserve"> </v>
      </c>
      <c r="AL31" s="178" t="str">
        <f>IF(請求内容入力シート!$H$16&lt;&gt;"",LEFT(RIGHT("        "&amp;請求内容入力シート!$H$16,5),1),"")</f>
        <v xml:space="preserve"> </v>
      </c>
      <c r="AM31" s="177" t="str">
        <f>IF(請求内容入力シート!$H$16&lt;&gt;"",LEFT(RIGHT("        "&amp;請求内容入力シート!$H$16,4),1),"")</f>
        <v xml:space="preserve"> </v>
      </c>
      <c r="AN31" s="176" t="str">
        <f>IF(請求内容入力シート!$H$16&lt;&gt;"",LEFT(RIGHT("        "&amp;請求内容入力シート!$H$16,3),1),"")</f>
        <v xml:space="preserve"> </v>
      </c>
      <c r="AO31" s="178" t="str">
        <f>IF(請求内容入力シート!$H$16&lt;&gt;"",LEFT(RIGHT("        "&amp;請求内容入力シート!$H$16,2),1),"")</f>
        <v xml:space="preserve"> </v>
      </c>
      <c r="AP31" s="179" t="str">
        <f>IF(請求内容入力シート!$H$16&lt;&gt;"",LEFT(RIGHT("        "&amp;請求内容入力シート!$H$16,1),1),"")</f>
        <v>0</v>
      </c>
    </row>
    <row r="32" spans="1:42" s="1" customFormat="1">
      <c r="AE32" s="3"/>
      <c r="AF32" s="3"/>
      <c r="AG32" s="3"/>
      <c r="AH32" s="3"/>
    </row>
    <row r="33" spans="2:42" s="1" customFormat="1" ht="24.95" customHeight="1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42" s="1" customFormat="1" ht="5.0999999999999996" customHeight="1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42" s="1" customFormat="1" ht="20.100000000000001" customHeight="1">
      <c r="B35" s="705"/>
      <c r="C35" s="705"/>
      <c r="D35" s="70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W35" s="815" t="s">
        <v>7</v>
      </c>
      <c r="X35" s="815"/>
      <c r="Y35" s="815"/>
      <c r="Z35" s="815"/>
      <c r="AA35" s="815"/>
    </row>
    <row r="36" spans="2:42" s="1" customFormat="1" ht="24.95" customHeight="1">
      <c r="B36" s="762" t="s">
        <v>12</v>
      </c>
      <c r="C36" s="715"/>
      <c r="D36" s="716"/>
      <c r="E36" s="712" t="str">
        <f>パラメータ!B6</f>
        <v>企業システム開発部 第2開発センター</v>
      </c>
      <c r="F36" s="769"/>
      <c r="G36" s="769"/>
      <c r="H36" s="769"/>
      <c r="I36" s="769"/>
      <c r="J36" s="769"/>
      <c r="K36" s="769"/>
      <c r="L36" s="769"/>
      <c r="M36" s="769"/>
      <c r="N36" s="769"/>
      <c r="O36" s="769"/>
      <c r="P36" s="769"/>
      <c r="Q36" s="769"/>
      <c r="R36" s="817"/>
      <c r="W36" s="9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0"/>
    </row>
    <row r="37" spans="2:42" s="1" customFormat="1" ht="20.100000000000001" customHeight="1">
      <c r="B37" s="765" t="s">
        <v>9</v>
      </c>
      <c r="C37" s="712" t="s">
        <v>13</v>
      </c>
      <c r="D37" s="713"/>
      <c r="E37" s="713"/>
      <c r="F37" s="714"/>
      <c r="G37" s="712" t="s">
        <v>126</v>
      </c>
      <c r="H37" s="769"/>
      <c r="I37" s="769"/>
      <c r="J37" s="770"/>
      <c r="K37" s="712" t="s">
        <v>10</v>
      </c>
      <c r="L37" s="769"/>
      <c r="M37" s="769"/>
      <c r="N37" s="770"/>
      <c r="O37" s="712" t="s">
        <v>11</v>
      </c>
      <c r="P37" s="769"/>
      <c r="Q37" s="769"/>
      <c r="R37" s="770"/>
      <c r="W37" s="11"/>
      <c r="AG37" s="816"/>
      <c r="AH37" s="816"/>
      <c r="AI37" s="816"/>
      <c r="AJ37" s="816"/>
      <c r="AK37" s="816"/>
      <c r="AL37" s="816"/>
      <c r="AP37" s="12"/>
    </row>
    <row r="38" spans="2:42" s="1" customFormat="1">
      <c r="B38" s="766"/>
      <c r="C38" s="11"/>
      <c r="F38" s="12"/>
      <c r="G38" s="11"/>
      <c r="J38" s="12"/>
      <c r="K38" s="11"/>
      <c r="N38" s="12"/>
      <c r="R38" s="12"/>
      <c r="W38" s="11"/>
      <c r="AP38" s="12"/>
    </row>
    <row r="39" spans="2:42" s="1" customFormat="1">
      <c r="B39" s="767"/>
      <c r="C39" s="11"/>
      <c r="F39" s="12"/>
      <c r="G39" s="11"/>
      <c r="J39" s="12"/>
      <c r="K39" s="11"/>
      <c r="N39" s="12"/>
      <c r="R39" s="12"/>
      <c r="W39" s="11"/>
      <c r="AP39" s="12"/>
    </row>
    <row r="40" spans="2:42" s="1" customFormat="1">
      <c r="B40" s="768"/>
      <c r="C40" s="13"/>
      <c r="D40" s="14"/>
      <c r="E40" s="14"/>
      <c r="F40" s="15"/>
      <c r="G40" s="13"/>
      <c r="H40" s="14"/>
      <c r="I40" s="14"/>
      <c r="J40" s="15"/>
      <c r="K40" s="13"/>
      <c r="L40" s="14"/>
      <c r="M40" s="14"/>
      <c r="N40" s="15"/>
      <c r="O40" s="14"/>
      <c r="P40" s="14"/>
      <c r="Q40" s="14"/>
      <c r="R40" s="15"/>
      <c r="W40" s="13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5"/>
    </row>
    <row r="41" spans="2:42" s="1" customFormat="1"/>
  </sheetData>
  <mergeCells count="74">
    <mergeCell ref="AG37:AL37"/>
    <mergeCell ref="B36:D36"/>
    <mergeCell ref="E36:R36"/>
    <mergeCell ref="B37:B40"/>
    <mergeCell ref="C37:F37"/>
    <mergeCell ref="G37:J37"/>
    <mergeCell ref="K37:N37"/>
    <mergeCell ref="O37:R37"/>
    <mergeCell ref="AI26:AP27"/>
    <mergeCell ref="C27:H27"/>
    <mergeCell ref="I27:S27"/>
    <mergeCell ref="T27:AH27"/>
    <mergeCell ref="B28:B29"/>
    <mergeCell ref="C28:H28"/>
    <mergeCell ref="T28:AH28"/>
    <mergeCell ref="C29:H29"/>
    <mergeCell ref="I29:N29"/>
    <mergeCell ref="O29:S29"/>
    <mergeCell ref="B26:B27"/>
    <mergeCell ref="C26:H26"/>
    <mergeCell ref="I26:S26"/>
    <mergeCell ref="T26:AH26"/>
    <mergeCell ref="T29:AH29"/>
    <mergeCell ref="F23:H23"/>
    <mergeCell ref="AD23:AH23"/>
    <mergeCell ref="B24:E24"/>
    <mergeCell ref="AD24:AH24"/>
    <mergeCell ref="B35:D35"/>
    <mergeCell ref="W35:AA35"/>
    <mergeCell ref="F30:H30"/>
    <mergeCell ref="AD30:AH30"/>
    <mergeCell ref="B31:E31"/>
    <mergeCell ref="AD31:AH31"/>
    <mergeCell ref="AI19:AP20"/>
    <mergeCell ref="C20:H20"/>
    <mergeCell ref="I20:S20"/>
    <mergeCell ref="T20:AH20"/>
    <mergeCell ref="B21:B22"/>
    <mergeCell ref="C21:H21"/>
    <mergeCell ref="T21:AH21"/>
    <mergeCell ref="C22:H22"/>
    <mergeCell ref="I22:N22"/>
    <mergeCell ref="O22:S22"/>
    <mergeCell ref="T22:AH22"/>
    <mergeCell ref="F16:H16"/>
    <mergeCell ref="AD16:AH16"/>
    <mergeCell ref="B17:E17"/>
    <mergeCell ref="AD17:AH17"/>
    <mergeCell ref="B19:B20"/>
    <mergeCell ref="C19:H19"/>
    <mergeCell ref="I19:S19"/>
    <mergeCell ref="T19:AH19"/>
    <mergeCell ref="B14:B15"/>
    <mergeCell ref="C14:H14"/>
    <mergeCell ref="T14:AH14"/>
    <mergeCell ref="C15:H15"/>
    <mergeCell ref="I15:N15"/>
    <mergeCell ref="O15:S15"/>
    <mergeCell ref="T15:AH15"/>
    <mergeCell ref="B12:B13"/>
    <mergeCell ref="C12:H12"/>
    <mergeCell ref="I12:S12"/>
    <mergeCell ref="T12:AH12"/>
    <mergeCell ref="AI12:AP13"/>
    <mergeCell ref="C13:H13"/>
    <mergeCell ref="I13:S13"/>
    <mergeCell ref="T13:AH13"/>
    <mergeCell ref="AE7:AH8"/>
    <mergeCell ref="AI7:AP8"/>
    <mergeCell ref="B3:AP4"/>
    <mergeCell ref="B5:J5"/>
    <mergeCell ref="AE5:AH5"/>
    <mergeCell ref="AE6:AH6"/>
    <mergeCell ref="AI6:AP6"/>
  </mergeCells>
  <phoneticPr fontId="2"/>
  <printOptions horizontalCentered="1"/>
  <pageMargins left="0.39370078740157483" right="0.39370078740157483" top="0.39370078740157483" bottom="0.39370078740157483" header="0.39370078740157483" footer="0.39370078740157483"/>
  <pageSetup paperSize="9" scale="97" fitToHeight="0" orientation="portrait" horizontalDpi="258" verticalDpi="258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5">
    <pageSetUpPr fitToPage="1"/>
  </sheetPr>
  <dimension ref="A1:AP41"/>
  <sheetViews>
    <sheetView zoomScaleNormal="100" workbookViewId="0"/>
  </sheetViews>
  <sheetFormatPr defaultColWidth="2.25" defaultRowHeight="13.5"/>
  <cols>
    <col min="1" max="34" width="2.25" style="126"/>
    <col min="35" max="42" width="2.625" style="126" customWidth="1"/>
    <col min="43" max="16384" width="2.25" style="126"/>
  </cols>
  <sheetData>
    <row r="1" spans="2:42" s="1" customFormat="1" ht="13.5" customHeight="1"/>
    <row r="2" spans="2:42" s="1" customFormat="1" ht="13.5" customHeight="1"/>
    <row r="3" spans="2:42" s="1" customFormat="1" ht="13.5" customHeight="1">
      <c r="B3" s="682" t="s">
        <v>0</v>
      </c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</row>
    <row r="4" spans="2:42" s="1" customFormat="1" ht="13.5" customHeight="1"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</row>
    <row r="5" spans="2:42" s="1" customFormat="1" ht="24.95" customHeight="1">
      <c r="B5" s="712" t="s">
        <v>134</v>
      </c>
      <c r="C5" s="713"/>
      <c r="D5" s="713"/>
      <c r="E5" s="713"/>
      <c r="F5" s="713"/>
      <c r="G5" s="713"/>
      <c r="H5" s="713"/>
      <c r="I5" s="713"/>
      <c r="J5" s="714"/>
      <c r="AE5" s="712" t="s">
        <v>1</v>
      </c>
      <c r="AF5" s="713"/>
      <c r="AG5" s="713"/>
      <c r="AH5" s="714"/>
      <c r="AI5" s="130" t="str">
        <f>LEFT(パラメータ!B5,1)</f>
        <v>A</v>
      </c>
      <c r="AJ5" s="131" t="str">
        <f>MID(パラメータ!B5,2,1)</f>
        <v>9</v>
      </c>
      <c r="AK5" s="131" t="str">
        <f>MID(パラメータ!B5,3,1)</f>
        <v>7</v>
      </c>
      <c r="AL5" s="131" t="str">
        <f>MID(パラメータ!B5,4,1)</f>
        <v>1</v>
      </c>
      <c r="AM5" s="131" t="str">
        <f>MID(パラメータ!B5,5,1)</f>
        <v>2</v>
      </c>
      <c r="AN5" s="132" t="str">
        <f>MID(パラメータ!B5,6,1)</f>
        <v>2</v>
      </c>
    </row>
    <row r="6" spans="2:42" s="1" customFormat="1" ht="24.95" customHeight="1">
      <c r="B6" s="2"/>
      <c r="C6" s="2"/>
      <c r="D6" s="2"/>
      <c r="E6" s="2"/>
      <c r="F6" s="2"/>
      <c r="G6" s="2"/>
      <c r="H6" s="2"/>
      <c r="I6" s="2"/>
      <c r="J6" s="2"/>
      <c r="AE6" s="712" t="s">
        <v>18</v>
      </c>
      <c r="AF6" s="713"/>
      <c r="AG6" s="713"/>
      <c r="AH6" s="714"/>
      <c r="AI6" s="717" t="str">
        <f>パラメータ!B3</f>
        <v>株式会社VTIジャパン</v>
      </c>
      <c r="AJ6" s="781"/>
      <c r="AK6" s="781"/>
      <c r="AL6" s="781"/>
      <c r="AM6" s="781"/>
      <c r="AN6" s="781"/>
      <c r="AO6" s="781"/>
      <c r="AP6" s="782"/>
    </row>
    <row r="7" spans="2:42" s="1" customFormat="1" ht="13.5" customHeight="1">
      <c r="AE7" s="722" t="s">
        <v>19</v>
      </c>
      <c r="AF7" s="788"/>
      <c r="AG7" s="788"/>
      <c r="AH7" s="789"/>
      <c r="AI7" s="722" t="str">
        <f>パラメータ!B4</f>
        <v>グエン ホン ソン</v>
      </c>
      <c r="AJ7" s="788"/>
      <c r="AK7" s="788"/>
      <c r="AL7" s="788"/>
      <c r="AM7" s="788"/>
      <c r="AN7" s="788"/>
      <c r="AO7" s="788"/>
      <c r="AP7" s="789"/>
    </row>
    <row r="8" spans="2:42" s="1" customFormat="1" ht="13.5" customHeight="1">
      <c r="AE8" s="790"/>
      <c r="AF8" s="791"/>
      <c r="AG8" s="791"/>
      <c r="AH8" s="792"/>
      <c r="AI8" s="790"/>
      <c r="AJ8" s="791"/>
      <c r="AK8" s="791"/>
      <c r="AL8" s="791"/>
      <c r="AM8" s="791"/>
      <c r="AN8" s="791"/>
      <c r="AO8" s="791"/>
      <c r="AP8" s="792"/>
    </row>
    <row r="9" spans="2:42" s="1" customFormat="1">
      <c r="AE9" s="3"/>
      <c r="AF9" s="3"/>
      <c r="AG9" s="3"/>
      <c r="AH9" s="3"/>
    </row>
    <row r="10" spans="2:42" s="1" customFormat="1">
      <c r="AE10" s="3"/>
      <c r="AF10" s="3"/>
      <c r="AG10" s="3"/>
      <c r="AH10" s="3"/>
    </row>
    <row r="11" spans="2:42" s="1" customFormat="1">
      <c r="AE11" s="3"/>
      <c r="AF11" s="3"/>
      <c r="AG11" s="3"/>
      <c r="AH11" s="3"/>
    </row>
    <row r="12" spans="2:42" s="4" customFormat="1" ht="11.25">
      <c r="B12" s="783" t="s">
        <v>28</v>
      </c>
      <c r="C12" s="779" t="s">
        <v>14</v>
      </c>
      <c r="D12" s="779"/>
      <c r="E12" s="779"/>
      <c r="F12" s="779"/>
      <c r="G12" s="779"/>
      <c r="H12" s="779"/>
      <c r="I12" s="785" t="s">
        <v>27</v>
      </c>
      <c r="J12" s="786"/>
      <c r="K12" s="786"/>
      <c r="L12" s="786"/>
      <c r="M12" s="786"/>
      <c r="N12" s="786"/>
      <c r="O12" s="786"/>
      <c r="P12" s="786"/>
      <c r="Q12" s="786"/>
      <c r="R12" s="786"/>
      <c r="S12" s="787"/>
      <c r="T12" s="785" t="s">
        <v>16</v>
      </c>
      <c r="U12" s="786"/>
      <c r="V12" s="786"/>
      <c r="W12" s="786"/>
      <c r="X12" s="786"/>
      <c r="Y12" s="786"/>
      <c r="Z12" s="786"/>
      <c r="AA12" s="786"/>
      <c r="AB12" s="786"/>
      <c r="AC12" s="786"/>
      <c r="AD12" s="786"/>
      <c r="AE12" s="786"/>
      <c r="AF12" s="786"/>
      <c r="AG12" s="786"/>
      <c r="AH12" s="786"/>
      <c r="AI12" s="785" t="s">
        <v>2</v>
      </c>
      <c r="AJ12" s="786"/>
      <c r="AK12" s="786"/>
      <c r="AL12" s="786"/>
      <c r="AM12" s="786"/>
      <c r="AN12" s="786"/>
      <c r="AO12" s="786"/>
      <c r="AP12" s="787"/>
    </row>
    <row r="13" spans="2:42" s="4" customFormat="1" ht="11.25">
      <c r="B13" s="784"/>
      <c r="C13" s="780" t="s">
        <v>120</v>
      </c>
      <c r="D13" s="780"/>
      <c r="E13" s="780"/>
      <c r="F13" s="780"/>
      <c r="G13" s="780"/>
      <c r="H13" s="780"/>
      <c r="I13" s="785" t="s">
        <v>26</v>
      </c>
      <c r="J13" s="799"/>
      <c r="K13" s="799"/>
      <c r="L13" s="799"/>
      <c r="M13" s="799"/>
      <c r="N13" s="799"/>
      <c r="O13" s="799"/>
      <c r="P13" s="799"/>
      <c r="Q13" s="799"/>
      <c r="R13" s="799"/>
      <c r="S13" s="809"/>
      <c r="T13" s="785" t="s">
        <v>17</v>
      </c>
      <c r="U13" s="799"/>
      <c r="V13" s="799"/>
      <c r="W13" s="799"/>
      <c r="X13" s="799"/>
      <c r="Y13" s="799"/>
      <c r="Z13" s="799"/>
      <c r="AA13" s="799"/>
      <c r="AB13" s="799"/>
      <c r="AC13" s="799"/>
      <c r="AD13" s="799"/>
      <c r="AE13" s="799"/>
      <c r="AF13" s="799"/>
      <c r="AG13" s="799"/>
      <c r="AH13" s="799"/>
      <c r="AI13" s="793"/>
      <c r="AJ13" s="794"/>
      <c r="AK13" s="794"/>
      <c r="AL13" s="794"/>
      <c r="AM13" s="794"/>
      <c r="AN13" s="794"/>
      <c r="AO13" s="794"/>
      <c r="AP13" s="795"/>
    </row>
    <row r="14" spans="2:42" s="1" customFormat="1" ht="24.95" customHeight="1">
      <c r="B14" s="800">
        <v>1</v>
      </c>
      <c r="C14" s="804" t="str">
        <f>IF(I14&lt;&gt;"",パラメータ!$B$7,"")</f>
        <v/>
      </c>
      <c r="D14" s="804"/>
      <c r="E14" s="804"/>
      <c r="F14" s="804"/>
      <c r="G14" s="804"/>
      <c r="H14" s="804"/>
      <c r="I14" s="169" t="str">
        <f>IF(請求内容入力シート!$C$25&lt;&gt;"",LEFT(RIGHT("0000000000"&amp;請求内容入力シート!$C$25,10),1),"")</f>
        <v/>
      </c>
      <c r="J14" s="137" t="str">
        <f>IF(請求内容入力シート!$C$25&lt;&gt;"",LEFT(RIGHT("0000000000"&amp;請求内容入力シート!$C$25,9),1),"")</f>
        <v/>
      </c>
      <c r="K14" s="137" t="str">
        <f>IF(請求内容入力シート!$C$25&lt;&gt;"",LEFT(RIGHT("0000000000"&amp;請求内容入力シート!$C$25,8),1),"")</f>
        <v/>
      </c>
      <c r="L14" s="138" t="str">
        <f>IF(請求内容入力シート!$C$25&lt;&gt;"",LEFT(RIGHT("0000000000"&amp;請求内容入力シート!$C$25,7),1),"")</f>
        <v/>
      </c>
      <c r="M14" s="127" t="s">
        <v>117</v>
      </c>
      <c r="N14" s="136" t="str">
        <f>IF(請求内容入力シート!$C$25&lt;&gt;"",LEFT(RIGHT("0000000000"&amp;請求内容入力シート!$C$25,6),1),"")</f>
        <v/>
      </c>
      <c r="O14" s="137" t="str">
        <f>IF(請求内容入力シート!$C$25&lt;&gt;"",LEFT(RIGHT("0000000000"&amp;請求内容入力シート!$C$25,5),1),"")</f>
        <v/>
      </c>
      <c r="P14" s="137" t="str">
        <f>IF(請求内容入力シート!$C$25&lt;&gt;"",LEFT(RIGHT("0000000000"&amp;請求内容入力シート!$C$25,4),1),"")</f>
        <v/>
      </c>
      <c r="Q14" s="137" t="str">
        <f>IF(請求内容入力シート!$C$25&lt;&gt;"",LEFT(RIGHT("0000000000"&amp;請求内容入力シート!$C$25,3),1),"")</f>
        <v/>
      </c>
      <c r="R14" s="137" t="str">
        <f>IF(請求内容入力シート!$C$25&lt;&gt;"",LEFT(RIGHT("0000000000"&amp;請求内容入力シート!$C$25,2),1),"")</f>
        <v/>
      </c>
      <c r="S14" s="138" t="str">
        <f>IF(請求内容入力シート!$C$25&lt;&gt;"",LEFT(RIGHT("0000000000"&amp;請求内容入力シート!$C$25,1),1),"")</f>
        <v/>
      </c>
      <c r="T14" s="802" t="str">
        <f>IF(請求内容入力シート!$D$25&lt;&gt;"",請求内容入力シート!$D$25,"")</f>
        <v/>
      </c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170"/>
      <c r="AJ14" s="171"/>
      <c r="AK14" s="170"/>
      <c r="AL14" s="172"/>
      <c r="AM14" s="171"/>
      <c r="AN14" s="170"/>
      <c r="AO14" s="172"/>
      <c r="AP14" s="171"/>
    </row>
    <row r="15" spans="2:42" s="1" customFormat="1" ht="24.95" customHeight="1">
      <c r="B15" s="801"/>
      <c r="C15" s="805" t="str">
        <f>IF(I14&lt;&gt;"",パラメータ!$B$8&amp;"21","")</f>
        <v/>
      </c>
      <c r="D15" s="805"/>
      <c r="E15" s="805"/>
      <c r="F15" s="805"/>
      <c r="G15" s="805"/>
      <c r="H15" s="805"/>
      <c r="I15" s="806" t="s">
        <v>135</v>
      </c>
      <c r="J15" s="807"/>
      <c r="K15" s="807"/>
      <c r="L15" s="807"/>
      <c r="M15" s="807"/>
      <c r="N15" s="807"/>
      <c r="O15" s="807" t="s">
        <v>136</v>
      </c>
      <c r="P15" s="807"/>
      <c r="Q15" s="807"/>
      <c r="R15" s="807"/>
      <c r="S15" s="808"/>
      <c r="T15" s="706" t="str">
        <f>IF(請求内容入力シート!$E$25&lt;&gt;"",請求内容入力シート!$E$25,"")</f>
        <v/>
      </c>
      <c r="U15" s="707"/>
      <c r="V15" s="707"/>
      <c r="W15" s="707"/>
      <c r="X15" s="707"/>
      <c r="Y15" s="707"/>
      <c r="Z15" s="707"/>
      <c r="AA15" s="707"/>
      <c r="AB15" s="707"/>
      <c r="AC15" s="707"/>
      <c r="AD15" s="707"/>
      <c r="AE15" s="707"/>
      <c r="AF15" s="707"/>
      <c r="AG15" s="707"/>
      <c r="AH15" s="707"/>
      <c r="AI15" s="173" t="str">
        <f>IF(請求内容入力シート!$F$25&lt;&gt;"",LEFT(RIGHT("        "&amp;請求内容入力シート!$F$25,8),1),"")</f>
        <v/>
      </c>
      <c r="AJ15" s="174" t="str">
        <f>IF(請求内容入力シート!$F$25&lt;&gt;"",LEFT(RIGHT("        "&amp;請求内容入力シート!$F$25,7),1),"")</f>
        <v/>
      </c>
      <c r="AK15" s="173" t="str">
        <f>IF(請求内容入力シート!$F$25&lt;&gt;"",LEFT(RIGHT("        "&amp;請求内容入力シート!$F$25,6),1),"")</f>
        <v/>
      </c>
      <c r="AL15" s="175" t="str">
        <f>IF(請求内容入力シート!$F$25&lt;&gt;"",LEFT(RIGHT("        "&amp;請求内容入力シート!$F$25,5),1),"")</f>
        <v/>
      </c>
      <c r="AM15" s="174" t="str">
        <f>IF(請求内容入力シート!$F$25&lt;&gt;"",LEFT(RIGHT("        "&amp;請求内容入力シート!$F$25,4),1),"")</f>
        <v/>
      </c>
      <c r="AN15" s="173" t="str">
        <f>IF(請求内容入力シート!$F$25&lt;&gt;"",LEFT(RIGHT("        "&amp;請求内容入力シート!$F$25,3),1),"")</f>
        <v/>
      </c>
      <c r="AO15" s="175" t="str">
        <f>IF(請求内容入力シート!$F$25&lt;&gt;"",LEFT(RIGHT("        "&amp;請求内容入力シート!$F$25,2),1),"")</f>
        <v/>
      </c>
      <c r="AP15" s="174" t="str">
        <f>IF(請求内容入力シート!$F$25&lt;&gt;"",LEFT(RIGHT("        "&amp;請求内容入力シート!$F$25,1),1),"")</f>
        <v/>
      </c>
    </row>
    <row r="16" spans="2:42" s="1" customFormat="1" ht="24.95" customHeight="1" thickBot="1">
      <c r="B16" s="5"/>
      <c r="C16" s="5"/>
      <c r="D16" s="5"/>
      <c r="E16" s="5"/>
      <c r="F16" s="810" t="s">
        <v>22</v>
      </c>
      <c r="G16" s="810"/>
      <c r="H16" s="810"/>
      <c r="AD16" s="722" t="s">
        <v>5</v>
      </c>
      <c r="AE16" s="686"/>
      <c r="AF16" s="686"/>
      <c r="AG16" s="686"/>
      <c r="AH16" s="686"/>
      <c r="AI16" s="170" t="str">
        <f>IF(請求内容入力シート!$G$25&lt;&gt;"",LEFT(RIGHT("        "&amp;請求内容入力シート!$G$25,8),1),"")</f>
        <v/>
      </c>
      <c r="AJ16" s="171" t="str">
        <f>IF(請求内容入力シート!$G$25&lt;&gt;"",LEFT(RIGHT("        "&amp;請求内容入力シート!$G$25,7),1),"")</f>
        <v/>
      </c>
      <c r="AK16" s="170" t="str">
        <f>IF(請求内容入力シート!$G$25&lt;&gt;"",LEFT(RIGHT("        "&amp;請求内容入力シート!$G$25,6),1),"")</f>
        <v/>
      </c>
      <c r="AL16" s="172" t="str">
        <f>IF(請求内容入力シート!$G$25&lt;&gt;"",LEFT(RIGHT("        "&amp;請求内容入力シート!$G$25,5),1),"")</f>
        <v/>
      </c>
      <c r="AM16" s="171" t="str">
        <f>IF(請求内容入力シート!$G$25&lt;&gt;"",LEFT(RIGHT("        "&amp;請求内容入力シート!$G$25,4),1),"")</f>
        <v/>
      </c>
      <c r="AN16" s="170" t="str">
        <f>IF(請求内容入力シート!$G$25&lt;&gt;"",LEFT(RIGHT("        "&amp;請求内容入力シート!$G$25,3),1),"")</f>
        <v/>
      </c>
      <c r="AO16" s="172" t="str">
        <f>IF(請求内容入力シート!$G$25&lt;&gt;"",LEFT(RIGHT("        "&amp;請求内容入力シート!$G$25,2),1),"")</f>
        <v/>
      </c>
      <c r="AP16" s="171" t="str">
        <f>IF(請求内容入力シート!$G$25&lt;&gt;"",LEFT(RIGHT("        "&amp;請求内容入力シート!$G$25,1),1),"")</f>
        <v/>
      </c>
    </row>
    <row r="17" spans="1:42" s="1" customFormat="1" ht="24.95" customHeight="1" thickBot="1">
      <c r="A17" s="1" t="s">
        <v>3</v>
      </c>
      <c r="B17" s="811" t="s">
        <v>21</v>
      </c>
      <c r="C17" s="812"/>
      <c r="D17" s="812"/>
      <c r="E17" s="812"/>
      <c r="F17" s="180" t="str">
        <f>IF(請求内容入力シート!$C$25&lt;&gt;"",LEFT(RIGHT("00000000"&amp;請求内容入力シート!$O$13,8),1),"")</f>
        <v/>
      </c>
      <c r="G17" s="182" t="str">
        <f>IF(請求内容入力シート!$C$25&lt;&gt;"",LEFT(RIGHT("00000000"&amp;請求内容入力シート!$O$13,7),1),"")</f>
        <v/>
      </c>
      <c r="H17" s="182" t="str">
        <f>IF(請求内容入力シート!$C$25&lt;&gt;"",LEFT(RIGHT("00000000"&amp;請求内容入力シート!$O$13,6),1),"")</f>
        <v/>
      </c>
      <c r="I17" s="181" t="str">
        <f>IF(請求内容入力シート!$C$25&lt;&gt;"",LEFT(RIGHT("00000000"&amp;請求内容入力シート!$O$13,5),1),"")</f>
        <v/>
      </c>
      <c r="J17" s="6" t="s">
        <v>23</v>
      </c>
      <c r="K17" s="181" t="str">
        <f>IF(請求内容入力シート!$C$25&lt;&gt;"",LEFT(RIGHT("00000000"&amp;請求内容入力シート!$O$13,4),1),"")</f>
        <v/>
      </c>
      <c r="L17" s="183" t="str">
        <f>IF(請求内容入力シート!$C$25&lt;&gt;"",LEFT(RIGHT("00000000"&amp;請求内容入力シート!$O$13,3),1),"")</f>
        <v/>
      </c>
      <c r="M17" s="6" t="s">
        <v>24</v>
      </c>
      <c r="N17" s="181" t="str">
        <f>IF(請求内容入力シート!$C$25&lt;&gt;"",LEFT(RIGHT("00000000"&amp;請求内容入力シート!$O$13,2),1),"")</f>
        <v/>
      </c>
      <c r="O17" s="183" t="str">
        <f>IF(請求内容入力シート!$C$25&lt;&gt;"",LEFT(RIGHT("00000000"&amp;請求内容入力シート!$O$13,1),1),"")</f>
        <v/>
      </c>
      <c r="P17" s="6" t="s">
        <v>25</v>
      </c>
      <c r="Q17" s="6" t="s">
        <v>29</v>
      </c>
      <c r="R17" s="180" t="str">
        <f>IF(請求内容入力シート!$C$25&lt;&gt;"",LEFT(RIGHT("00000000"&amp;請求内容入力シート!$Q$13,8),1),"")</f>
        <v/>
      </c>
      <c r="S17" s="182" t="str">
        <f>IF(請求内容入力シート!$C$25&lt;&gt;"",LEFT(RIGHT("00000000"&amp;請求内容入力シート!$Q$13,7),1),"")</f>
        <v/>
      </c>
      <c r="T17" s="182" t="str">
        <f>IF(請求内容入力シート!$C$25&lt;&gt;"",LEFT(RIGHT("00000000"&amp;請求内容入力シート!$Q$13,6),1),"")</f>
        <v/>
      </c>
      <c r="U17" s="181" t="str">
        <f>IF(請求内容入力シート!$C$25&lt;&gt;"",LEFT(RIGHT("00000000"&amp;請求内容入力シート!$Q$13,5),1),"")</f>
        <v/>
      </c>
      <c r="V17" s="6" t="s">
        <v>23</v>
      </c>
      <c r="W17" s="181" t="str">
        <f>IF(請求内容入力シート!$C$25&lt;&gt;"",LEFT(RIGHT("00000000"&amp;請求内容入力シート!$Q$13,4),1),"")</f>
        <v/>
      </c>
      <c r="X17" s="183" t="str">
        <f>IF(請求内容入力シート!$C$25&lt;&gt;"",LEFT(RIGHT("00000000"&amp;請求内容入力シート!$Q$13,3),1),"")</f>
        <v/>
      </c>
      <c r="Y17" s="6" t="s">
        <v>24</v>
      </c>
      <c r="Z17" s="181" t="str">
        <f>IF(請求内容入力シート!$C$25&lt;&gt;"",LEFT(RIGHT("00000000"&amp;請求内容入力シート!$Q$13,2),1),"")</f>
        <v/>
      </c>
      <c r="AA17" s="183" t="str">
        <f>IF(請求内容入力シート!$C$25&lt;&gt;"",LEFT(RIGHT("00000000"&amp;請求内容入力シート!$Q$13,1),1),"")</f>
        <v/>
      </c>
      <c r="AB17" s="6" t="s">
        <v>118</v>
      </c>
      <c r="AC17" s="7"/>
      <c r="AD17" s="813" t="s">
        <v>6</v>
      </c>
      <c r="AE17" s="814"/>
      <c r="AF17" s="814"/>
      <c r="AG17" s="814"/>
      <c r="AH17" s="814"/>
      <c r="AI17" s="176" t="str">
        <f>IF(請求内容入力シート!$H$25&lt;&gt;"",LEFT(RIGHT("        "&amp;請求内容入力シート!$H$25,8),1),"")</f>
        <v xml:space="preserve"> </v>
      </c>
      <c r="AJ17" s="177" t="str">
        <f>IF(請求内容入力シート!$H$25&lt;&gt;"",LEFT(RIGHT("        "&amp;請求内容入力シート!$H$25,7),1),"")</f>
        <v xml:space="preserve"> </v>
      </c>
      <c r="AK17" s="176" t="str">
        <f>IF(請求内容入力シート!$H$25&lt;&gt;"",LEFT(RIGHT("        "&amp;請求内容入力シート!$H$25,6),1),"")</f>
        <v xml:space="preserve"> </v>
      </c>
      <c r="AL17" s="178" t="str">
        <f>IF(請求内容入力シート!$H$25&lt;&gt;"",LEFT(RIGHT("        "&amp;請求内容入力シート!$H$25,5),1),"")</f>
        <v xml:space="preserve"> </v>
      </c>
      <c r="AM17" s="177" t="str">
        <f>IF(請求内容入力シート!$H$25&lt;&gt;"",LEFT(RIGHT("        "&amp;請求内容入力シート!$H$25,4),1),"")</f>
        <v xml:space="preserve"> </v>
      </c>
      <c r="AN17" s="176" t="str">
        <f>IF(請求内容入力シート!$H$25&lt;&gt;"",LEFT(RIGHT("        "&amp;請求内容入力シート!$H$25,3),1),"")</f>
        <v xml:space="preserve"> </v>
      </c>
      <c r="AO17" s="178" t="str">
        <f>IF(請求内容入力シート!$H$25&lt;&gt;"",LEFT(RIGHT("        "&amp;請求内容入力シート!$H$25,2),1),"")</f>
        <v xml:space="preserve"> </v>
      </c>
      <c r="AP17" s="179" t="str">
        <f>IF(請求内容入力シート!$H$25&lt;&gt;"",LEFT(RIGHT("        "&amp;請求内容入力シート!$H$25,1),1),"")</f>
        <v>0</v>
      </c>
    </row>
    <row r="18" spans="1:42" s="1" customFormat="1" ht="50.1" customHeight="1">
      <c r="AE18" s="3"/>
      <c r="AF18" s="3"/>
      <c r="AG18" s="3"/>
      <c r="AH18" s="3"/>
    </row>
    <row r="19" spans="1:42" s="4" customFormat="1" ht="11.25">
      <c r="B19" s="783" t="s">
        <v>28</v>
      </c>
      <c r="C19" s="779" t="s">
        <v>14</v>
      </c>
      <c r="D19" s="779"/>
      <c r="E19" s="779"/>
      <c r="F19" s="779"/>
      <c r="G19" s="779"/>
      <c r="H19" s="779"/>
      <c r="I19" s="785" t="s">
        <v>27</v>
      </c>
      <c r="J19" s="786"/>
      <c r="K19" s="786"/>
      <c r="L19" s="786"/>
      <c r="M19" s="786"/>
      <c r="N19" s="786"/>
      <c r="O19" s="786"/>
      <c r="P19" s="786"/>
      <c r="Q19" s="786"/>
      <c r="R19" s="786"/>
      <c r="S19" s="787"/>
      <c r="T19" s="785" t="s">
        <v>16</v>
      </c>
      <c r="U19" s="786"/>
      <c r="V19" s="786"/>
      <c r="W19" s="786"/>
      <c r="X19" s="786"/>
      <c r="Y19" s="786"/>
      <c r="Z19" s="786"/>
      <c r="AA19" s="786"/>
      <c r="AB19" s="786"/>
      <c r="AC19" s="786"/>
      <c r="AD19" s="786"/>
      <c r="AE19" s="786"/>
      <c r="AF19" s="786"/>
      <c r="AG19" s="786"/>
      <c r="AH19" s="786"/>
      <c r="AI19" s="785" t="s">
        <v>2</v>
      </c>
      <c r="AJ19" s="786"/>
      <c r="AK19" s="786"/>
      <c r="AL19" s="786"/>
      <c r="AM19" s="786"/>
      <c r="AN19" s="786"/>
      <c r="AO19" s="786"/>
      <c r="AP19" s="787"/>
    </row>
    <row r="20" spans="1:42" s="4" customFormat="1" ht="11.25">
      <c r="B20" s="784"/>
      <c r="C20" s="780" t="s">
        <v>120</v>
      </c>
      <c r="D20" s="780"/>
      <c r="E20" s="780"/>
      <c r="F20" s="780"/>
      <c r="G20" s="780"/>
      <c r="H20" s="780"/>
      <c r="I20" s="785" t="s">
        <v>26</v>
      </c>
      <c r="J20" s="799"/>
      <c r="K20" s="799"/>
      <c r="L20" s="799"/>
      <c r="M20" s="799"/>
      <c r="N20" s="799"/>
      <c r="O20" s="799"/>
      <c r="P20" s="799"/>
      <c r="Q20" s="799"/>
      <c r="R20" s="799"/>
      <c r="S20" s="809"/>
      <c r="T20" s="785" t="s">
        <v>17</v>
      </c>
      <c r="U20" s="799"/>
      <c r="V20" s="799"/>
      <c r="W20" s="799"/>
      <c r="X20" s="799"/>
      <c r="Y20" s="799"/>
      <c r="Z20" s="799"/>
      <c r="AA20" s="799"/>
      <c r="AB20" s="799"/>
      <c r="AC20" s="799"/>
      <c r="AD20" s="799"/>
      <c r="AE20" s="799"/>
      <c r="AF20" s="799"/>
      <c r="AG20" s="799"/>
      <c r="AH20" s="799"/>
      <c r="AI20" s="793"/>
      <c r="AJ20" s="794"/>
      <c r="AK20" s="794"/>
      <c r="AL20" s="794"/>
      <c r="AM20" s="794"/>
      <c r="AN20" s="794"/>
      <c r="AO20" s="794"/>
      <c r="AP20" s="795"/>
    </row>
    <row r="21" spans="1:42" s="1" customFormat="1" ht="24.95" customHeight="1">
      <c r="B21" s="800">
        <v>2</v>
      </c>
      <c r="C21" s="804" t="str">
        <f>IF(I21&lt;&gt;"",パラメータ!$B$7,"")</f>
        <v/>
      </c>
      <c r="D21" s="804"/>
      <c r="E21" s="804"/>
      <c r="F21" s="804"/>
      <c r="G21" s="804"/>
      <c r="H21" s="804"/>
      <c r="I21" s="169" t="str">
        <f>IF(請求内容入力シート!$C$26&lt;&gt;"",LEFT(RIGHT("0000000000"&amp;請求内容入力シート!$C$26,10),1),"")</f>
        <v/>
      </c>
      <c r="J21" s="137" t="str">
        <f>IF(請求内容入力シート!$C$26&lt;&gt;"",LEFT(RIGHT("0000000000"&amp;請求内容入力シート!$C$26,9),1),"")</f>
        <v/>
      </c>
      <c r="K21" s="137" t="str">
        <f>IF(請求内容入力シート!$C$26&lt;&gt;"",LEFT(RIGHT("0000000000"&amp;請求内容入力シート!$C$26,8),1),"")</f>
        <v/>
      </c>
      <c r="L21" s="138" t="str">
        <f>IF(請求内容入力シート!$C$26&lt;&gt;"",LEFT(RIGHT("0000000000"&amp;請求内容入力シート!$C$26,7),1),"")</f>
        <v/>
      </c>
      <c r="M21" s="127" t="s">
        <v>117</v>
      </c>
      <c r="N21" s="136" t="str">
        <f>IF(請求内容入力シート!$C$26&lt;&gt;"",LEFT(RIGHT("0000000000"&amp;請求内容入力シート!$C$26,6),1),"")</f>
        <v/>
      </c>
      <c r="O21" s="137" t="str">
        <f>IF(請求内容入力シート!$C$26&lt;&gt;"",LEFT(RIGHT("0000000000"&amp;請求内容入力シート!$C$26,5),1),"")</f>
        <v/>
      </c>
      <c r="P21" s="137" t="str">
        <f>IF(請求内容入力シート!$C$26&lt;&gt;"",LEFT(RIGHT("0000000000"&amp;請求内容入力シート!$C$26,4),1),"")</f>
        <v/>
      </c>
      <c r="Q21" s="137" t="str">
        <f>IF(請求内容入力シート!$C$26&lt;&gt;"",LEFT(RIGHT("0000000000"&amp;請求内容入力シート!$C$26,3),1),"")</f>
        <v/>
      </c>
      <c r="R21" s="137" t="str">
        <f>IF(請求内容入力シート!$C$26&lt;&gt;"",LEFT(RIGHT("0000000000"&amp;請求内容入力シート!$C$26,2),1),"")</f>
        <v/>
      </c>
      <c r="S21" s="138" t="str">
        <f>IF(請求内容入力シート!$C$26&lt;&gt;"",LEFT(RIGHT("0000000000"&amp;請求内容入力シート!$C$26,1),1),"")</f>
        <v/>
      </c>
      <c r="T21" s="818" t="str">
        <f>IF(請求内容入力シート!$D$26&lt;&gt;"",請求内容入力シート!$D$26,"")</f>
        <v/>
      </c>
      <c r="U21" s="819"/>
      <c r="V21" s="819"/>
      <c r="W21" s="819"/>
      <c r="X21" s="819"/>
      <c r="Y21" s="819"/>
      <c r="Z21" s="819"/>
      <c r="AA21" s="819"/>
      <c r="AB21" s="819"/>
      <c r="AC21" s="819"/>
      <c r="AD21" s="819"/>
      <c r="AE21" s="819"/>
      <c r="AF21" s="819"/>
      <c r="AG21" s="819"/>
      <c r="AH21" s="819"/>
      <c r="AI21" s="170"/>
      <c r="AJ21" s="171"/>
      <c r="AK21" s="170"/>
      <c r="AL21" s="172"/>
      <c r="AM21" s="171"/>
      <c r="AN21" s="170"/>
      <c r="AO21" s="172"/>
      <c r="AP21" s="171"/>
    </row>
    <row r="22" spans="1:42" s="1" customFormat="1" ht="24.95" customHeight="1">
      <c r="B22" s="801"/>
      <c r="C22" s="805" t="str">
        <f>IF(I21&lt;&gt;"",パラメータ!$B$8&amp;"22","")</f>
        <v/>
      </c>
      <c r="D22" s="805"/>
      <c r="E22" s="805"/>
      <c r="F22" s="805"/>
      <c r="G22" s="805"/>
      <c r="H22" s="805"/>
      <c r="I22" s="806" t="s">
        <v>135</v>
      </c>
      <c r="J22" s="807"/>
      <c r="K22" s="807"/>
      <c r="L22" s="807"/>
      <c r="M22" s="807"/>
      <c r="N22" s="807"/>
      <c r="O22" s="807" t="s">
        <v>136</v>
      </c>
      <c r="P22" s="807"/>
      <c r="Q22" s="807"/>
      <c r="R22" s="807"/>
      <c r="S22" s="808"/>
      <c r="T22" s="820" t="str">
        <f>IF(請求内容入力シート!$E$26&lt;&gt;"",請求内容入力シート!$E$26,"")</f>
        <v/>
      </c>
      <c r="U22" s="821"/>
      <c r="V22" s="821"/>
      <c r="W22" s="821"/>
      <c r="X22" s="821"/>
      <c r="Y22" s="821"/>
      <c r="Z22" s="821"/>
      <c r="AA22" s="821"/>
      <c r="AB22" s="821"/>
      <c r="AC22" s="821"/>
      <c r="AD22" s="821"/>
      <c r="AE22" s="821"/>
      <c r="AF22" s="821"/>
      <c r="AG22" s="821"/>
      <c r="AH22" s="821"/>
      <c r="AI22" s="173" t="str">
        <f>IF(請求内容入力シート!$F$26&lt;&gt;"",LEFT(RIGHT("        "&amp;請求内容入力シート!$F$26,8),1),"")</f>
        <v/>
      </c>
      <c r="AJ22" s="174" t="str">
        <f>IF(請求内容入力シート!$F$26&lt;&gt;"",LEFT(RIGHT("        "&amp;請求内容入力シート!$F$26,7),1),"")</f>
        <v/>
      </c>
      <c r="AK22" s="173" t="str">
        <f>IF(請求内容入力シート!$F$26&lt;&gt;"",LEFT(RIGHT("        "&amp;請求内容入力シート!$F$26,6),1),"")</f>
        <v/>
      </c>
      <c r="AL22" s="175" t="str">
        <f>IF(請求内容入力シート!$F$26&lt;&gt;"",LEFT(RIGHT("        "&amp;請求内容入力シート!$F$26,5),1),"")</f>
        <v/>
      </c>
      <c r="AM22" s="174" t="str">
        <f>IF(請求内容入力シート!$F$26&lt;&gt;"",LEFT(RIGHT("        "&amp;請求内容入力シート!$F$26,4),1),"")</f>
        <v/>
      </c>
      <c r="AN22" s="173" t="str">
        <f>IF(請求内容入力シート!$F$26&lt;&gt;"",LEFT(RIGHT("        "&amp;請求内容入力シート!$F$26,3),1),"")</f>
        <v/>
      </c>
      <c r="AO22" s="175" t="str">
        <f>IF(請求内容入力シート!$F$26&lt;&gt;"",LEFT(RIGHT("        "&amp;請求内容入力シート!$F$26,2),1),"")</f>
        <v/>
      </c>
      <c r="AP22" s="174" t="str">
        <f>IF(請求内容入力シート!$F$26&lt;&gt;"",LEFT(RIGHT("        "&amp;請求内容入力シート!$F$26,1),1),"")</f>
        <v/>
      </c>
    </row>
    <row r="23" spans="1:42" s="1" customFormat="1" ht="24.95" customHeight="1" thickBot="1">
      <c r="B23" s="5"/>
      <c r="C23" s="5"/>
      <c r="D23" s="5"/>
      <c r="E23" s="5"/>
      <c r="F23" s="810" t="s">
        <v>22</v>
      </c>
      <c r="G23" s="810"/>
      <c r="H23" s="810"/>
      <c r="AD23" s="722" t="s">
        <v>5</v>
      </c>
      <c r="AE23" s="686"/>
      <c r="AF23" s="686"/>
      <c r="AG23" s="686"/>
      <c r="AH23" s="686"/>
      <c r="AI23" s="170" t="str">
        <f>IF(請求内容入力シート!$G$26&lt;&gt;"",LEFT(RIGHT("        "&amp;請求内容入力シート!$G$26,8),1),"")</f>
        <v/>
      </c>
      <c r="AJ23" s="171" t="str">
        <f>IF(請求内容入力シート!$G$26&lt;&gt;"",LEFT(RIGHT("        "&amp;請求内容入力シート!$G$26,7),1),"")</f>
        <v/>
      </c>
      <c r="AK23" s="170" t="str">
        <f>IF(請求内容入力シート!$G$26&lt;&gt;"",LEFT(RIGHT("        "&amp;請求内容入力シート!$G$26,6),1),"")</f>
        <v/>
      </c>
      <c r="AL23" s="172" t="str">
        <f>IF(請求内容入力シート!$G$26&lt;&gt;"",LEFT(RIGHT("        "&amp;請求内容入力シート!$G$26,5),1),"")</f>
        <v/>
      </c>
      <c r="AM23" s="171" t="str">
        <f>IF(請求内容入力シート!$G$26&lt;&gt;"",LEFT(RIGHT("        "&amp;請求内容入力シート!$G$26,4),1),"")</f>
        <v/>
      </c>
      <c r="AN23" s="170" t="str">
        <f>IF(請求内容入力シート!$G$26&lt;&gt;"",LEFT(RIGHT("        "&amp;請求内容入力シート!$G$26,3),1),"")</f>
        <v/>
      </c>
      <c r="AO23" s="172" t="str">
        <f>IF(請求内容入力シート!$G$26&lt;&gt;"",LEFT(RIGHT("        "&amp;請求内容入力シート!$G$26,2),1),"")</f>
        <v/>
      </c>
      <c r="AP23" s="171" t="str">
        <f>IF(請求内容入力シート!$G$26&lt;&gt;"",LEFT(RIGHT("        "&amp;請求内容入力シート!$G$26,1),1),"")</f>
        <v/>
      </c>
    </row>
    <row r="24" spans="1:42" s="1" customFormat="1" ht="24.95" customHeight="1" thickBot="1">
      <c r="A24" s="1" t="s">
        <v>3</v>
      </c>
      <c r="B24" s="811" t="s">
        <v>21</v>
      </c>
      <c r="C24" s="812"/>
      <c r="D24" s="812"/>
      <c r="E24" s="812"/>
      <c r="F24" s="180" t="str">
        <f>IF(請求内容入力シート!$C$26&lt;&gt;"",LEFT(RIGHT("00000000"&amp;請求内容入力シート!$O$13,8),1),"")</f>
        <v/>
      </c>
      <c r="G24" s="182" t="str">
        <f>IF(請求内容入力シート!$C$26&lt;&gt;"",LEFT(RIGHT("00000000"&amp;請求内容入力シート!$O$13,7),1),"")</f>
        <v/>
      </c>
      <c r="H24" s="182" t="str">
        <f>IF(請求内容入力シート!$C$26&lt;&gt;"",LEFT(RIGHT("00000000"&amp;請求内容入力シート!$O$13,6),1),"")</f>
        <v/>
      </c>
      <c r="I24" s="181" t="str">
        <f>IF(請求内容入力シート!$C$26&lt;&gt;"",LEFT(RIGHT("00000000"&amp;請求内容入力シート!$O$13,5),1),"")</f>
        <v/>
      </c>
      <c r="J24" s="6" t="s">
        <v>23</v>
      </c>
      <c r="K24" s="181" t="str">
        <f>IF(請求内容入力シート!$C$26&lt;&gt;"",LEFT(RIGHT("00000000"&amp;請求内容入力シート!$O$13,4),1),"")</f>
        <v/>
      </c>
      <c r="L24" s="183" t="str">
        <f>IF(請求内容入力シート!$C$26&lt;&gt;"",LEFT(RIGHT("00000000"&amp;請求内容入力シート!$O$13,3),1),"")</f>
        <v/>
      </c>
      <c r="M24" s="6" t="s">
        <v>24</v>
      </c>
      <c r="N24" s="181" t="str">
        <f>IF(請求内容入力シート!$C$26&lt;&gt;"",LEFT(RIGHT("00000000"&amp;請求内容入力シート!$O$13,2),1),"")</f>
        <v/>
      </c>
      <c r="O24" s="183" t="str">
        <f>IF(請求内容入力シート!$C$26&lt;&gt;"",LEFT(RIGHT("00000000"&amp;請求内容入力シート!$O$13,1),1),"")</f>
        <v/>
      </c>
      <c r="P24" s="6" t="s">
        <v>25</v>
      </c>
      <c r="Q24" s="6" t="s">
        <v>29</v>
      </c>
      <c r="R24" s="180" t="str">
        <f>IF(請求内容入力シート!$C$26&lt;&gt;"",LEFT(RIGHT("00000000"&amp;請求内容入力シート!$Q$13,8),1),"")</f>
        <v/>
      </c>
      <c r="S24" s="182" t="str">
        <f>IF(請求内容入力シート!$C$26&lt;&gt;"",LEFT(RIGHT("00000000"&amp;請求内容入力シート!$Q$13,7),1),"")</f>
        <v/>
      </c>
      <c r="T24" s="182" t="str">
        <f>IF(請求内容入力シート!$C$26&lt;&gt;"",LEFT(RIGHT("00000000"&amp;請求内容入力シート!$Q$13,6),1),"")</f>
        <v/>
      </c>
      <c r="U24" s="181" t="str">
        <f>IF(請求内容入力シート!$C$26&lt;&gt;"",LEFT(RIGHT("00000000"&amp;請求内容入力シート!$Q$13,5),1),"")</f>
        <v/>
      </c>
      <c r="V24" s="6" t="s">
        <v>23</v>
      </c>
      <c r="W24" s="181" t="str">
        <f>IF(請求内容入力シート!$C$26&lt;&gt;"",LEFT(RIGHT("00000000"&amp;請求内容入力シート!$Q$13,4),1),"")</f>
        <v/>
      </c>
      <c r="X24" s="183" t="str">
        <f>IF(請求内容入力シート!$C$26&lt;&gt;"",LEFT(RIGHT("00000000"&amp;請求内容入力シート!$Q$13,3),1),"")</f>
        <v/>
      </c>
      <c r="Y24" s="6" t="s">
        <v>24</v>
      </c>
      <c r="Z24" s="181" t="str">
        <f>IF(請求内容入力シート!$C$26&lt;&gt;"",LEFT(RIGHT("00000000"&amp;請求内容入力シート!$Q$13,2),1),"")</f>
        <v/>
      </c>
      <c r="AA24" s="183" t="str">
        <f>IF(請求内容入力シート!$C$26&lt;&gt;"",LEFT(RIGHT("00000000"&amp;請求内容入力シート!$Q$13,1),1),"")</f>
        <v/>
      </c>
      <c r="AB24" s="6" t="s">
        <v>118</v>
      </c>
      <c r="AC24" s="7"/>
      <c r="AD24" s="813" t="s">
        <v>6</v>
      </c>
      <c r="AE24" s="814"/>
      <c r="AF24" s="814"/>
      <c r="AG24" s="814"/>
      <c r="AH24" s="814"/>
      <c r="AI24" s="176" t="str">
        <f>IF(請求内容入力シート!$H$26&lt;&gt;"",LEFT(RIGHT("        "&amp;請求内容入力シート!$H$26,8),1),"")</f>
        <v xml:space="preserve"> </v>
      </c>
      <c r="AJ24" s="177" t="str">
        <f>IF(請求内容入力シート!$H$26&lt;&gt;"",LEFT(RIGHT("        "&amp;請求内容入力シート!$H$26,7),1),"")</f>
        <v xml:space="preserve"> </v>
      </c>
      <c r="AK24" s="176" t="str">
        <f>IF(請求内容入力シート!$H$26&lt;&gt;"",LEFT(RIGHT("        "&amp;請求内容入力シート!$H$26,6),1),"")</f>
        <v xml:space="preserve"> </v>
      </c>
      <c r="AL24" s="178" t="str">
        <f>IF(請求内容入力シート!$H$26&lt;&gt;"",LEFT(RIGHT("        "&amp;請求内容入力シート!$H$26,5),1),"")</f>
        <v xml:space="preserve"> </v>
      </c>
      <c r="AM24" s="177" t="str">
        <f>IF(請求内容入力シート!$H$26&lt;&gt;"",LEFT(RIGHT("        "&amp;請求内容入力シート!$H$26,4),1),"")</f>
        <v xml:space="preserve"> </v>
      </c>
      <c r="AN24" s="176" t="str">
        <f>IF(請求内容入力シート!$H$26&lt;&gt;"",LEFT(RIGHT("        "&amp;請求内容入力シート!$H$26,3),1),"")</f>
        <v xml:space="preserve"> </v>
      </c>
      <c r="AO24" s="178" t="str">
        <f>IF(請求内容入力シート!$H$26&lt;&gt;"",LEFT(RIGHT("        "&amp;請求内容入力シート!$H$26,2),1),"")</f>
        <v xml:space="preserve"> </v>
      </c>
      <c r="AP24" s="179" t="str">
        <f>IF(請求内容入力シート!$H$26&lt;&gt;"",LEFT(RIGHT("        "&amp;請求内容入力シート!$H$26,1),1),"")</f>
        <v>0</v>
      </c>
    </row>
    <row r="25" spans="1:42" s="1" customFormat="1" ht="50.1" customHeight="1">
      <c r="AE25" s="3"/>
      <c r="AF25" s="3"/>
      <c r="AG25" s="3"/>
      <c r="AH25" s="3"/>
    </row>
    <row r="26" spans="1:42" s="4" customFormat="1" ht="11.25">
      <c r="B26" s="783" t="s">
        <v>28</v>
      </c>
      <c r="C26" s="779" t="s">
        <v>14</v>
      </c>
      <c r="D26" s="779"/>
      <c r="E26" s="779"/>
      <c r="F26" s="779"/>
      <c r="G26" s="779"/>
      <c r="H26" s="779"/>
      <c r="I26" s="785" t="s">
        <v>27</v>
      </c>
      <c r="J26" s="786"/>
      <c r="K26" s="786"/>
      <c r="L26" s="786"/>
      <c r="M26" s="786"/>
      <c r="N26" s="786"/>
      <c r="O26" s="786"/>
      <c r="P26" s="786"/>
      <c r="Q26" s="786"/>
      <c r="R26" s="786"/>
      <c r="S26" s="787"/>
      <c r="T26" s="785" t="s">
        <v>16</v>
      </c>
      <c r="U26" s="786"/>
      <c r="V26" s="786"/>
      <c r="W26" s="786"/>
      <c r="X26" s="786"/>
      <c r="Y26" s="786"/>
      <c r="Z26" s="786"/>
      <c r="AA26" s="786"/>
      <c r="AB26" s="786"/>
      <c r="AC26" s="786"/>
      <c r="AD26" s="786"/>
      <c r="AE26" s="786"/>
      <c r="AF26" s="786"/>
      <c r="AG26" s="786"/>
      <c r="AH26" s="786"/>
      <c r="AI26" s="785" t="s">
        <v>2</v>
      </c>
      <c r="AJ26" s="786"/>
      <c r="AK26" s="786"/>
      <c r="AL26" s="786"/>
      <c r="AM26" s="786"/>
      <c r="AN26" s="786"/>
      <c r="AO26" s="786"/>
      <c r="AP26" s="787"/>
    </row>
    <row r="27" spans="1:42" s="4" customFormat="1" ht="11.25">
      <c r="B27" s="784"/>
      <c r="C27" s="780" t="s">
        <v>120</v>
      </c>
      <c r="D27" s="780"/>
      <c r="E27" s="780"/>
      <c r="F27" s="780"/>
      <c r="G27" s="780"/>
      <c r="H27" s="780"/>
      <c r="I27" s="785" t="s">
        <v>26</v>
      </c>
      <c r="J27" s="799"/>
      <c r="K27" s="799"/>
      <c r="L27" s="799"/>
      <c r="M27" s="799"/>
      <c r="N27" s="799"/>
      <c r="O27" s="799"/>
      <c r="P27" s="799"/>
      <c r="Q27" s="799"/>
      <c r="R27" s="799"/>
      <c r="S27" s="809"/>
      <c r="T27" s="785" t="s">
        <v>17</v>
      </c>
      <c r="U27" s="799"/>
      <c r="V27" s="799"/>
      <c r="W27" s="799"/>
      <c r="X27" s="799"/>
      <c r="Y27" s="799"/>
      <c r="Z27" s="799"/>
      <c r="AA27" s="799"/>
      <c r="AB27" s="799"/>
      <c r="AC27" s="799"/>
      <c r="AD27" s="799"/>
      <c r="AE27" s="799"/>
      <c r="AF27" s="799"/>
      <c r="AG27" s="799"/>
      <c r="AH27" s="799"/>
      <c r="AI27" s="793"/>
      <c r="AJ27" s="794"/>
      <c r="AK27" s="794"/>
      <c r="AL27" s="794"/>
      <c r="AM27" s="794"/>
      <c r="AN27" s="794"/>
      <c r="AO27" s="794"/>
      <c r="AP27" s="795"/>
    </row>
    <row r="28" spans="1:42" s="1" customFormat="1" ht="24.95" customHeight="1">
      <c r="B28" s="800">
        <v>6</v>
      </c>
      <c r="C28" s="804" t="str">
        <f>IF(I28&lt;&gt;"",パラメータ!$B$7,"")</f>
        <v/>
      </c>
      <c r="D28" s="804"/>
      <c r="E28" s="804"/>
      <c r="F28" s="804"/>
      <c r="G28" s="804"/>
      <c r="H28" s="804"/>
      <c r="I28" s="169" t="str">
        <f>IF(請求内容入力シート!$C$27&lt;&gt;"",LEFT(RIGHT("0000000000"&amp;請求内容入力シート!$C$27,10),1),"")</f>
        <v/>
      </c>
      <c r="J28" s="137" t="str">
        <f>IF(請求内容入力シート!$C$27&lt;&gt;"",LEFT(RIGHT("0000000000"&amp;請求内容入力シート!$C$27,9),1),"")</f>
        <v/>
      </c>
      <c r="K28" s="137" t="str">
        <f>IF(請求内容入力シート!$C$27&lt;&gt;"",LEFT(RIGHT("0000000000"&amp;請求内容入力シート!$C$27,8),1),"")</f>
        <v/>
      </c>
      <c r="L28" s="138" t="str">
        <f>IF(請求内容入力シート!$C$27&lt;&gt;"",LEFT(RIGHT("0000000000"&amp;請求内容入力シート!$C$27,7),1),"")</f>
        <v/>
      </c>
      <c r="M28" s="127" t="s">
        <v>117</v>
      </c>
      <c r="N28" s="136" t="str">
        <f>IF(請求内容入力シート!$C$27&lt;&gt;"",LEFT(RIGHT("0000000000"&amp;請求内容入力シート!$C$27,6),1),"")</f>
        <v/>
      </c>
      <c r="O28" s="137" t="str">
        <f>IF(請求内容入力シート!$C$27&lt;&gt;"",LEFT(RIGHT("0000000000"&amp;請求内容入力シート!$C$27,5),1),"")</f>
        <v/>
      </c>
      <c r="P28" s="137" t="str">
        <f>IF(請求内容入力シート!$C$27&lt;&gt;"",LEFT(RIGHT("0000000000"&amp;請求内容入力シート!$C$27,4),1),"")</f>
        <v/>
      </c>
      <c r="Q28" s="137" t="str">
        <f>IF(請求内容入力シート!$C$27&lt;&gt;"",LEFT(RIGHT("0000000000"&amp;請求内容入力シート!$C$27,3),1),"")</f>
        <v/>
      </c>
      <c r="R28" s="137" t="str">
        <f>IF(請求内容入力シート!$C$27&lt;&gt;"",LEFT(RIGHT("0000000000"&amp;請求内容入力シート!$C$27,2),1),"")</f>
        <v/>
      </c>
      <c r="S28" s="138" t="str">
        <f>IF(請求内容入力シート!$C$27&lt;&gt;"",LEFT(RIGHT("0000000000"&amp;請求内容入力シート!$C$27,1),1),"")</f>
        <v/>
      </c>
      <c r="T28" s="818" t="str">
        <f>IF(請求内容入力シート!$D$27&lt;&gt;"",請求内容入力シート!$D$27,"")</f>
        <v/>
      </c>
      <c r="U28" s="819"/>
      <c r="V28" s="819"/>
      <c r="W28" s="819"/>
      <c r="X28" s="819"/>
      <c r="Y28" s="819"/>
      <c r="Z28" s="819"/>
      <c r="AA28" s="819"/>
      <c r="AB28" s="819"/>
      <c r="AC28" s="819"/>
      <c r="AD28" s="819"/>
      <c r="AE28" s="819"/>
      <c r="AF28" s="819"/>
      <c r="AG28" s="819"/>
      <c r="AH28" s="819"/>
      <c r="AI28" s="170"/>
      <c r="AJ28" s="171"/>
      <c r="AK28" s="170"/>
      <c r="AL28" s="172"/>
      <c r="AM28" s="171"/>
      <c r="AN28" s="170"/>
      <c r="AO28" s="172"/>
      <c r="AP28" s="171"/>
    </row>
    <row r="29" spans="1:42" s="1" customFormat="1" ht="24.95" customHeight="1">
      <c r="B29" s="801"/>
      <c r="C29" s="805" t="str">
        <f>IF(I28&lt;&gt;"",パラメータ!$B$8&amp;"23","")</f>
        <v/>
      </c>
      <c r="D29" s="805"/>
      <c r="E29" s="805"/>
      <c r="F29" s="805"/>
      <c r="G29" s="805"/>
      <c r="H29" s="805"/>
      <c r="I29" s="806" t="s">
        <v>135</v>
      </c>
      <c r="J29" s="807"/>
      <c r="K29" s="807"/>
      <c r="L29" s="807"/>
      <c r="M29" s="807"/>
      <c r="N29" s="807"/>
      <c r="O29" s="807" t="s">
        <v>136</v>
      </c>
      <c r="P29" s="807"/>
      <c r="Q29" s="807"/>
      <c r="R29" s="807"/>
      <c r="S29" s="808"/>
      <c r="T29" s="820" t="str">
        <f>IF(請求内容入力シート!$E$27&lt;&gt;"",請求内容入力シート!$E$27,"")</f>
        <v/>
      </c>
      <c r="U29" s="821"/>
      <c r="V29" s="821"/>
      <c r="W29" s="821"/>
      <c r="X29" s="821"/>
      <c r="Y29" s="821"/>
      <c r="Z29" s="821"/>
      <c r="AA29" s="821"/>
      <c r="AB29" s="821"/>
      <c r="AC29" s="821"/>
      <c r="AD29" s="821"/>
      <c r="AE29" s="821"/>
      <c r="AF29" s="821"/>
      <c r="AG29" s="821"/>
      <c r="AH29" s="821"/>
      <c r="AI29" s="173" t="str">
        <f>IF(請求内容入力シート!$F$27&lt;&gt;"",LEFT(RIGHT("        "&amp;請求内容入力シート!$F$27,8),1),"")</f>
        <v/>
      </c>
      <c r="AJ29" s="174" t="str">
        <f>IF(請求内容入力シート!$F$27&lt;&gt;"",LEFT(RIGHT("        "&amp;請求内容入力シート!$F$27,7),1),"")</f>
        <v/>
      </c>
      <c r="AK29" s="173" t="str">
        <f>IF(請求内容入力シート!$F$27&lt;&gt;"",LEFT(RIGHT("        "&amp;請求内容入力シート!$F$27,6),1),"")</f>
        <v/>
      </c>
      <c r="AL29" s="175" t="str">
        <f>IF(請求内容入力シート!$F$27&lt;&gt;"",LEFT(RIGHT("        "&amp;請求内容入力シート!$F$27,5),1),"")</f>
        <v/>
      </c>
      <c r="AM29" s="174" t="str">
        <f>IF(請求内容入力シート!$F$27&lt;&gt;"",LEFT(RIGHT("        "&amp;請求内容入力シート!$F$27,4),1),"")</f>
        <v/>
      </c>
      <c r="AN29" s="173" t="str">
        <f>IF(請求内容入力シート!$F$27&lt;&gt;"",LEFT(RIGHT("        "&amp;請求内容入力シート!$F$27,3),1),"")</f>
        <v/>
      </c>
      <c r="AO29" s="175" t="str">
        <f>IF(請求内容入力シート!$F$27&lt;&gt;"",LEFT(RIGHT("        "&amp;請求内容入力シート!$F$27,2),1),"")</f>
        <v/>
      </c>
      <c r="AP29" s="174" t="str">
        <f>IF(請求内容入力シート!$F$27&lt;&gt;"",LEFT(RIGHT("        "&amp;請求内容入力シート!$F$27,1),1),"")</f>
        <v/>
      </c>
    </row>
    <row r="30" spans="1:42" s="1" customFormat="1" ht="22.5" customHeight="1" thickBot="1">
      <c r="B30" s="5"/>
      <c r="C30" s="5"/>
      <c r="D30" s="5"/>
      <c r="E30" s="5"/>
      <c r="F30" s="810" t="s">
        <v>22</v>
      </c>
      <c r="G30" s="810"/>
      <c r="H30" s="810"/>
      <c r="AD30" s="722" t="s">
        <v>5</v>
      </c>
      <c r="AE30" s="686"/>
      <c r="AF30" s="686"/>
      <c r="AG30" s="686"/>
      <c r="AH30" s="686"/>
      <c r="AI30" s="170" t="str">
        <f>IF(請求内容入力シート!$G$27&lt;&gt;"",LEFT(RIGHT("        "&amp;請求内容入力シート!$G$27,8),1),"")</f>
        <v/>
      </c>
      <c r="AJ30" s="171" t="str">
        <f>IF(請求内容入力シート!$G$27&lt;&gt;"",LEFT(RIGHT("        "&amp;請求内容入力シート!$G$27,7),1),"")</f>
        <v/>
      </c>
      <c r="AK30" s="170" t="str">
        <f>IF(請求内容入力シート!$G$27&lt;&gt;"",LEFT(RIGHT("        "&amp;請求内容入力シート!$G$27,6),1),"")</f>
        <v/>
      </c>
      <c r="AL30" s="172" t="str">
        <f>IF(請求内容入力シート!$G$27&lt;&gt;"",LEFT(RIGHT("        "&amp;請求内容入力シート!$G$27,5),1),"")</f>
        <v/>
      </c>
      <c r="AM30" s="171" t="str">
        <f>IF(請求内容入力シート!$G$27&lt;&gt;"",LEFT(RIGHT("        "&amp;請求内容入力シート!$G$27,4),1),"")</f>
        <v/>
      </c>
      <c r="AN30" s="170" t="str">
        <f>IF(請求内容入力シート!$G$27&lt;&gt;"",LEFT(RIGHT("        "&amp;請求内容入力シート!$G$27,3),1),"")</f>
        <v/>
      </c>
      <c r="AO30" s="172" t="str">
        <f>IF(請求内容入力シート!$G$27&lt;&gt;"",LEFT(RIGHT("        "&amp;請求内容入力シート!$G$27,2),1),"")</f>
        <v/>
      </c>
      <c r="AP30" s="171" t="str">
        <f>IF(請求内容入力シート!$G$27&lt;&gt;"",LEFT(RIGHT("        "&amp;請求内容入力シート!$G$27,1),1),"")</f>
        <v/>
      </c>
    </row>
    <row r="31" spans="1:42" s="1" customFormat="1" ht="24.95" customHeight="1" thickBot="1">
      <c r="A31" s="1" t="s">
        <v>3</v>
      </c>
      <c r="B31" s="811" t="s">
        <v>21</v>
      </c>
      <c r="C31" s="812"/>
      <c r="D31" s="812"/>
      <c r="E31" s="812"/>
      <c r="F31" s="180" t="str">
        <f>IF(請求内容入力シート!$C$27&lt;&gt;"",LEFT(RIGHT("00000000"&amp;請求内容入力シート!$O$13,8),1),"")</f>
        <v/>
      </c>
      <c r="G31" s="182" t="str">
        <f>IF(請求内容入力シート!$C$27&lt;&gt;"",LEFT(RIGHT("00000000"&amp;請求内容入力シート!$O$13,7),1),"")</f>
        <v/>
      </c>
      <c r="H31" s="182" t="str">
        <f>IF(請求内容入力シート!$C$27&lt;&gt;"",LEFT(RIGHT("00000000"&amp;請求内容入力シート!$O$13,6),1),"")</f>
        <v/>
      </c>
      <c r="I31" s="181" t="str">
        <f>IF(請求内容入力シート!$C$27&lt;&gt;"",LEFT(RIGHT("00000000"&amp;請求内容入力シート!$O$13,5),1),"")</f>
        <v/>
      </c>
      <c r="J31" s="6" t="s">
        <v>23</v>
      </c>
      <c r="K31" s="181" t="str">
        <f>IF(請求内容入力シート!$C$27&lt;&gt;"",LEFT(RIGHT("00000000"&amp;請求内容入力シート!$O$13,4),1),"")</f>
        <v/>
      </c>
      <c r="L31" s="183" t="str">
        <f>IF(請求内容入力シート!$C$27&lt;&gt;"",LEFT(RIGHT("00000000"&amp;請求内容入力シート!$O$13,3),1),"")</f>
        <v/>
      </c>
      <c r="M31" s="6" t="s">
        <v>24</v>
      </c>
      <c r="N31" s="181" t="str">
        <f>IF(請求内容入力シート!$C$27&lt;&gt;"",LEFT(RIGHT("00000000"&amp;請求内容入力シート!$O$13,2),1),"")</f>
        <v/>
      </c>
      <c r="O31" s="183" t="str">
        <f>IF(請求内容入力シート!$C$27&lt;&gt;"",LEFT(RIGHT("00000000"&amp;請求内容入力シート!$O$13,1),1),"")</f>
        <v/>
      </c>
      <c r="P31" s="6" t="s">
        <v>25</v>
      </c>
      <c r="Q31" s="6" t="s">
        <v>29</v>
      </c>
      <c r="R31" s="180" t="str">
        <f>IF(請求内容入力シート!$C$27&lt;&gt;"",LEFT(RIGHT("00000000"&amp;請求内容入力シート!$Q$13,8),1),"")</f>
        <v/>
      </c>
      <c r="S31" s="182" t="str">
        <f>IF(請求内容入力シート!$C$27&lt;&gt;"",LEFT(RIGHT("00000000"&amp;請求内容入力シート!$Q$13,7),1),"")</f>
        <v/>
      </c>
      <c r="T31" s="182" t="str">
        <f>IF(請求内容入力シート!$C$27&lt;&gt;"",LEFT(RIGHT("00000000"&amp;請求内容入力シート!$Q$13,6),1),"")</f>
        <v/>
      </c>
      <c r="U31" s="181" t="str">
        <f>IF(請求内容入力シート!$C$27&lt;&gt;"",LEFT(RIGHT("00000000"&amp;請求内容入力シート!$Q$13,5),1),"")</f>
        <v/>
      </c>
      <c r="V31" s="6" t="s">
        <v>23</v>
      </c>
      <c r="W31" s="181" t="str">
        <f>IF(請求内容入力シート!$C$27&lt;&gt;"",LEFT(RIGHT("00000000"&amp;請求内容入力シート!$Q$13,4),1),"")</f>
        <v/>
      </c>
      <c r="X31" s="183" t="str">
        <f>IF(請求内容入力シート!$C$27&lt;&gt;"",LEFT(RIGHT("00000000"&amp;請求内容入力シート!$Q$13,3),1),"")</f>
        <v/>
      </c>
      <c r="Y31" s="6" t="s">
        <v>24</v>
      </c>
      <c r="Z31" s="181" t="str">
        <f>IF(請求内容入力シート!$C$27&lt;&gt;"",LEFT(RIGHT("00000000"&amp;請求内容入力シート!$Q$13,2),1),"")</f>
        <v/>
      </c>
      <c r="AA31" s="183" t="str">
        <f>IF(請求内容入力シート!$C$27&lt;&gt;"",LEFT(RIGHT("00000000"&amp;請求内容入力シート!$Q$13,1),1),"")</f>
        <v/>
      </c>
      <c r="AB31" s="6" t="s">
        <v>118</v>
      </c>
      <c r="AC31" s="7"/>
      <c r="AD31" s="813" t="s">
        <v>6</v>
      </c>
      <c r="AE31" s="814"/>
      <c r="AF31" s="814"/>
      <c r="AG31" s="814"/>
      <c r="AH31" s="814"/>
      <c r="AI31" s="176" t="str">
        <f>IF(請求内容入力シート!$H$27&lt;&gt;"",LEFT(RIGHT("        "&amp;請求内容入力シート!$H$27,8),1),"")</f>
        <v xml:space="preserve"> </v>
      </c>
      <c r="AJ31" s="177" t="str">
        <f>IF(請求内容入力シート!$H$27&lt;&gt;"",LEFT(RIGHT("        "&amp;請求内容入力シート!$H$27,7),1),"")</f>
        <v xml:space="preserve"> </v>
      </c>
      <c r="AK31" s="176" t="str">
        <f>IF(請求内容入力シート!$H$27&lt;&gt;"",LEFT(RIGHT("        "&amp;請求内容入力シート!$H$27,6),1),"")</f>
        <v xml:space="preserve"> </v>
      </c>
      <c r="AL31" s="178" t="str">
        <f>IF(請求内容入力シート!$H$27&lt;&gt;"",LEFT(RIGHT("        "&amp;請求内容入力シート!$H$27,5),1),"")</f>
        <v xml:space="preserve"> </v>
      </c>
      <c r="AM31" s="177" t="str">
        <f>IF(請求内容入力シート!$H$27&lt;&gt;"",LEFT(RIGHT("        "&amp;請求内容入力シート!$H$27,4),1),"")</f>
        <v xml:space="preserve"> </v>
      </c>
      <c r="AN31" s="176" t="str">
        <f>IF(請求内容入力シート!$H$27&lt;&gt;"",LEFT(RIGHT("        "&amp;請求内容入力シート!$H$27,3),1),"")</f>
        <v xml:space="preserve"> </v>
      </c>
      <c r="AO31" s="178" t="str">
        <f>IF(請求内容入力シート!$H$27&lt;&gt;"",LEFT(RIGHT("        "&amp;請求内容入力シート!$H$27,2),1),"")</f>
        <v xml:space="preserve"> </v>
      </c>
      <c r="AP31" s="179" t="str">
        <f>IF(請求内容入力シート!$H$27&lt;&gt;"",LEFT(RIGHT("        "&amp;請求内容入力シート!$H$27,1),1),"")</f>
        <v>0</v>
      </c>
    </row>
    <row r="32" spans="1:42" s="1" customFormat="1">
      <c r="AE32" s="3"/>
      <c r="AF32" s="3"/>
      <c r="AG32" s="3"/>
      <c r="AH32" s="3"/>
    </row>
    <row r="33" spans="2:42" s="1" customFormat="1" ht="24.95" customHeight="1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42" s="1" customFormat="1" ht="5.0999999999999996" customHeight="1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42" s="1" customFormat="1" ht="20.100000000000001" customHeight="1">
      <c r="B35" s="705"/>
      <c r="C35" s="705"/>
      <c r="D35" s="70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W35" s="815" t="s">
        <v>7</v>
      </c>
      <c r="X35" s="815"/>
      <c r="Y35" s="815"/>
      <c r="Z35" s="815"/>
      <c r="AA35" s="815"/>
    </row>
    <row r="36" spans="2:42" s="1" customFormat="1" ht="24.95" customHeight="1">
      <c r="B36" s="762" t="s">
        <v>12</v>
      </c>
      <c r="C36" s="715"/>
      <c r="D36" s="716"/>
      <c r="E36" s="712" t="str">
        <f>パラメータ!B6</f>
        <v>企業システム開発部 第2開発センター</v>
      </c>
      <c r="F36" s="769"/>
      <c r="G36" s="769"/>
      <c r="H36" s="769"/>
      <c r="I36" s="769"/>
      <c r="J36" s="769"/>
      <c r="K36" s="769"/>
      <c r="L36" s="769"/>
      <c r="M36" s="769"/>
      <c r="N36" s="769"/>
      <c r="O36" s="769"/>
      <c r="P36" s="769"/>
      <c r="Q36" s="769"/>
      <c r="R36" s="817"/>
      <c r="W36" s="9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0"/>
    </row>
    <row r="37" spans="2:42" s="1" customFormat="1" ht="20.100000000000001" customHeight="1">
      <c r="B37" s="765" t="s">
        <v>9</v>
      </c>
      <c r="C37" s="712" t="s">
        <v>13</v>
      </c>
      <c r="D37" s="713"/>
      <c r="E37" s="713"/>
      <c r="F37" s="714"/>
      <c r="G37" s="712" t="s">
        <v>126</v>
      </c>
      <c r="H37" s="769"/>
      <c r="I37" s="769"/>
      <c r="J37" s="770"/>
      <c r="K37" s="712" t="s">
        <v>10</v>
      </c>
      <c r="L37" s="769"/>
      <c r="M37" s="769"/>
      <c r="N37" s="770"/>
      <c r="O37" s="712" t="s">
        <v>11</v>
      </c>
      <c r="P37" s="769"/>
      <c r="Q37" s="769"/>
      <c r="R37" s="770"/>
      <c r="W37" s="11"/>
      <c r="AG37" s="816"/>
      <c r="AH37" s="816"/>
      <c r="AI37" s="816"/>
      <c r="AJ37" s="816"/>
      <c r="AK37" s="816"/>
      <c r="AL37" s="816"/>
      <c r="AP37" s="12"/>
    </row>
    <row r="38" spans="2:42" s="1" customFormat="1">
      <c r="B38" s="766"/>
      <c r="C38" s="11"/>
      <c r="F38" s="12"/>
      <c r="G38" s="11"/>
      <c r="J38" s="12"/>
      <c r="K38" s="11"/>
      <c r="N38" s="12"/>
      <c r="R38" s="12"/>
      <c r="W38" s="11"/>
      <c r="AP38" s="12"/>
    </row>
    <row r="39" spans="2:42" s="1" customFormat="1">
      <c r="B39" s="767"/>
      <c r="C39" s="11"/>
      <c r="F39" s="12"/>
      <c r="G39" s="11"/>
      <c r="J39" s="12"/>
      <c r="K39" s="11"/>
      <c r="N39" s="12"/>
      <c r="R39" s="12"/>
      <c r="W39" s="11"/>
      <c r="AP39" s="12"/>
    </row>
    <row r="40" spans="2:42" s="1" customFormat="1">
      <c r="B40" s="768"/>
      <c r="C40" s="13"/>
      <c r="D40" s="14"/>
      <c r="E40" s="14"/>
      <c r="F40" s="15"/>
      <c r="G40" s="13"/>
      <c r="H40" s="14"/>
      <c r="I40" s="14"/>
      <c r="J40" s="15"/>
      <c r="K40" s="13"/>
      <c r="L40" s="14"/>
      <c r="M40" s="14"/>
      <c r="N40" s="15"/>
      <c r="O40" s="14"/>
      <c r="P40" s="14"/>
      <c r="Q40" s="14"/>
      <c r="R40" s="15"/>
      <c r="W40" s="13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5"/>
    </row>
    <row r="41" spans="2:42" s="1" customFormat="1"/>
  </sheetData>
  <mergeCells count="74">
    <mergeCell ref="O37:R37"/>
    <mergeCell ref="F30:H30"/>
    <mergeCell ref="AD30:AH30"/>
    <mergeCell ref="B31:E31"/>
    <mergeCell ref="AD31:AH31"/>
    <mergeCell ref="B35:D35"/>
    <mergeCell ref="W35:AA35"/>
    <mergeCell ref="AG37:AL37"/>
    <mergeCell ref="B36:D36"/>
    <mergeCell ref="E36:R36"/>
    <mergeCell ref="B37:B40"/>
    <mergeCell ref="C37:F37"/>
    <mergeCell ref="G37:J37"/>
    <mergeCell ref="K37:N37"/>
    <mergeCell ref="AI26:AP27"/>
    <mergeCell ref="I27:S27"/>
    <mergeCell ref="T27:AH27"/>
    <mergeCell ref="B28:B29"/>
    <mergeCell ref="T28:AH28"/>
    <mergeCell ref="T29:AH29"/>
    <mergeCell ref="C28:H28"/>
    <mergeCell ref="C29:H29"/>
    <mergeCell ref="I29:N29"/>
    <mergeCell ref="O29:S29"/>
    <mergeCell ref="AD23:AH23"/>
    <mergeCell ref="B24:E24"/>
    <mergeCell ref="AD24:AH24"/>
    <mergeCell ref="B26:B27"/>
    <mergeCell ref="I26:S26"/>
    <mergeCell ref="T26:AH26"/>
    <mergeCell ref="C26:H26"/>
    <mergeCell ref="C27:H27"/>
    <mergeCell ref="F23:H23"/>
    <mergeCell ref="T21:AH21"/>
    <mergeCell ref="T22:AH22"/>
    <mergeCell ref="C21:H21"/>
    <mergeCell ref="C22:H22"/>
    <mergeCell ref="B19:B20"/>
    <mergeCell ref="I19:S19"/>
    <mergeCell ref="T19:AH19"/>
    <mergeCell ref="I22:N22"/>
    <mergeCell ref="O22:S22"/>
    <mergeCell ref="B21:B22"/>
    <mergeCell ref="C19:H19"/>
    <mergeCell ref="C20:H20"/>
    <mergeCell ref="AI19:AP20"/>
    <mergeCell ref="I20:S20"/>
    <mergeCell ref="T20:AH20"/>
    <mergeCell ref="T15:AH15"/>
    <mergeCell ref="F16:H16"/>
    <mergeCell ref="AD16:AH16"/>
    <mergeCell ref="AD17:AH17"/>
    <mergeCell ref="I15:N15"/>
    <mergeCell ref="O15:S15"/>
    <mergeCell ref="C15:H15"/>
    <mergeCell ref="B17:E17"/>
    <mergeCell ref="B14:B15"/>
    <mergeCell ref="T14:AH14"/>
    <mergeCell ref="B12:B13"/>
    <mergeCell ref="C12:H12"/>
    <mergeCell ref="C13:H13"/>
    <mergeCell ref="C14:H14"/>
    <mergeCell ref="AE7:AH8"/>
    <mergeCell ref="AI7:AP8"/>
    <mergeCell ref="I12:S12"/>
    <mergeCell ref="T12:AH12"/>
    <mergeCell ref="AI12:AP13"/>
    <mergeCell ref="I13:S13"/>
    <mergeCell ref="T13:AH13"/>
    <mergeCell ref="B3:AP4"/>
    <mergeCell ref="B5:J5"/>
    <mergeCell ref="AE5:AH5"/>
    <mergeCell ref="AE6:AH6"/>
    <mergeCell ref="AI6:AP6"/>
  </mergeCells>
  <phoneticPr fontId="2"/>
  <printOptions horizontalCentered="1"/>
  <pageMargins left="0.39370078740157483" right="0.39370078740157483" top="0.39370078740157483" bottom="0.39370078740157483" header="0.39370078740157483" footer="0.39370078740157483"/>
  <pageSetup paperSize="9" scale="97" fitToHeight="0" orientation="portrait" horizontalDpi="258" verticalDpi="258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pageSetUpPr fitToPage="1"/>
  </sheetPr>
  <dimension ref="A1:AP41"/>
  <sheetViews>
    <sheetView zoomScaleNormal="100" workbookViewId="0">
      <selection activeCell="BM23" sqref="BM23"/>
    </sheetView>
  </sheetViews>
  <sheetFormatPr defaultColWidth="2.25" defaultRowHeight="13.5"/>
  <cols>
    <col min="1" max="34" width="2.25" style="126"/>
    <col min="35" max="42" width="2.625" style="126" customWidth="1"/>
    <col min="43" max="16384" width="2.25" style="126"/>
  </cols>
  <sheetData>
    <row r="1" spans="2:42" s="1" customFormat="1" ht="13.5" customHeight="1"/>
    <row r="2" spans="2:42" s="1" customFormat="1" ht="13.5" customHeight="1"/>
    <row r="3" spans="2:42" s="1" customFormat="1" ht="13.5" customHeight="1">
      <c r="B3" s="682" t="s">
        <v>0</v>
      </c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2"/>
      <c r="AF3" s="682"/>
      <c r="AG3" s="682"/>
      <c r="AH3" s="682"/>
      <c r="AI3" s="682"/>
      <c r="AJ3" s="682"/>
      <c r="AK3" s="682"/>
      <c r="AL3" s="682"/>
      <c r="AM3" s="682"/>
      <c r="AN3" s="682"/>
      <c r="AO3" s="682"/>
      <c r="AP3" s="682"/>
    </row>
    <row r="4" spans="2:42" s="1" customFormat="1" ht="13.5" customHeight="1"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AG4" s="682"/>
      <c r="AH4" s="682"/>
      <c r="AI4" s="682"/>
      <c r="AJ4" s="682"/>
      <c r="AK4" s="682"/>
      <c r="AL4" s="682"/>
      <c r="AM4" s="682"/>
      <c r="AN4" s="682"/>
      <c r="AO4" s="682"/>
      <c r="AP4" s="682"/>
    </row>
    <row r="5" spans="2:42" s="1" customFormat="1" ht="24.95" customHeight="1">
      <c r="B5" s="712" t="s">
        <v>134</v>
      </c>
      <c r="C5" s="713"/>
      <c r="D5" s="713"/>
      <c r="E5" s="713"/>
      <c r="F5" s="713"/>
      <c r="G5" s="713"/>
      <c r="H5" s="713"/>
      <c r="I5" s="713"/>
      <c r="J5" s="714"/>
      <c r="AE5" s="712" t="s">
        <v>1</v>
      </c>
      <c r="AF5" s="713"/>
      <c r="AG5" s="713"/>
      <c r="AH5" s="714"/>
      <c r="AI5" s="130" t="str">
        <f>LEFT(パラメータ!B5,1)</f>
        <v>A</v>
      </c>
      <c r="AJ5" s="131" t="str">
        <f>MID(パラメータ!B5,2,1)</f>
        <v>9</v>
      </c>
      <c r="AK5" s="131" t="str">
        <f>MID(パラメータ!B5,3,1)</f>
        <v>7</v>
      </c>
      <c r="AL5" s="131" t="str">
        <f>MID(パラメータ!B5,4,1)</f>
        <v>1</v>
      </c>
      <c r="AM5" s="131" t="str">
        <f>MID(パラメータ!B5,5,1)</f>
        <v>2</v>
      </c>
      <c r="AN5" s="132" t="str">
        <f>MID(パラメータ!B5,6,1)</f>
        <v>2</v>
      </c>
    </row>
    <row r="6" spans="2:42" s="1" customFormat="1" ht="24.95" customHeight="1">
      <c r="B6" s="2"/>
      <c r="C6" s="2"/>
      <c r="D6" s="2"/>
      <c r="E6" s="2"/>
      <c r="F6" s="2"/>
      <c r="G6" s="2"/>
      <c r="H6" s="2"/>
      <c r="I6" s="2"/>
      <c r="J6" s="2"/>
      <c r="AE6" s="712" t="s">
        <v>18</v>
      </c>
      <c r="AF6" s="713"/>
      <c r="AG6" s="713"/>
      <c r="AH6" s="714"/>
      <c r="AI6" s="717" t="str">
        <f>パラメータ!B3</f>
        <v>株式会社VTIジャパン</v>
      </c>
      <c r="AJ6" s="781"/>
      <c r="AK6" s="781"/>
      <c r="AL6" s="781"/>
      <c r="AM6" s="781"/>
      <c r="AN6" s="781"/>
      <c r="AO6" s="781"/>
      <c r="AP6" s="782"/>
    </row>
    <row r="7" spans="2:42" s="1" customFormat="1" ht="13.5" customHeight="1">
      <c r="AE7" s="722" t="s">
        <v>19</v>
      </c>
      <c r="AF7" s="788"/>
      <c r="AG7" s="788"/>
      <c r="AH7" s="789"/>
      <c r="AI7" s="722" t="str">
        <f>パラメータ!B4</f>
        <v>グエン ホン ソン</v>
      </c>
      <c r="AJ7" s="788"/>
      <c r="AK7" s="788"/>
      <c r="AL7" s="788"/>
      <c r="AM7" s="788"/>
      <c r="AN7" s="788"/>
      <c r="AO7" s="788"/>
      <c r="AP7" s="789"/>
    </row>
    <row r="8" spans="2:42" s="1" customFormat="1" ht="13.5" customHeight="1">
      <c r="AE8" s="790"/>
      <c r="AF8" s="791"/>
      <c r="AG8" s="791"/>
      <c r="AH8" s="792"/>
      <c r="AI8" s="790"/>
      <c r="AJ8" s="791"/>
      <c r="AK8" s="791"/>
      <c r="AL8" s="791"/>
      <c r="AM8" s="791"/>
      <c r="AN8" s="791"/>
      <c r="AO8" s="791"/>
      <c r="AP8" s="792"/>
    </row>
    <row r="9" spans="2:42" s="1" customFormat="1">
      <c r="AE9" s="3"/>
      <c r="AF9" s="3"/>
      <c r="AG9" s="3"/>
      <c r="AH9" s="3"/>
    </row>
    <row r="10" spans="2:42" s="1" customFormat="1">
      <c r="AE10" s="3"/>
      <c r="AF10" s="3"/>
      <c r="AG10" s="3"/>
      <c r="AH10" s="3"/>
    </row>
    <row r="11" spans="2:42" s="1" customFormat="1">
      <c r="AE11" s="3"/>
      <c r="AF11" s="3"/>
      <c r="AG11" s="3"/>
      <c r="AH11" s="3"/>
    </row>
    <row r="12" spans="2:42" s="4" customFormat="1" ht="11.25">
      <c r="B12" s="783" t="s">
        <v>28</v>
      </c>
      <c r="C12" s="779" t="s">
        <v>14</v>
      </c>
      <c r="D12" s="779"/>
      <c r="E12" s="779"/>
      <c r="F12" s="779"/>
      <c r="G12" s="779"/>
      <c r="H12" s="779"/>
      <c r="I12" s="785" t="s">
        <v>27</v>
      </c>
      <c r="J12" s="786"/>
      <c r="K12" s="786"/>
      <c r="L12" s="786"/>
      <c r="M12" s="786"/>
      <c r="N12" s="786"/>
      <c r="O12" s="786"/>
      <c r="P12" s="786"/>
      <c r="Q12" s="786"/>
      <c r="R12" s="786"/>
      <c r="S12" s="787"/>
      <c r="T12" s="785" t="s">
        <v>16</v>
      </c>
      <c r="U12" s="786"/>
      <c r="V12" s="786"/>
      <c r="W12" s="786"/>
      <c r="X12" s="786"/>
      <c r="Y12" s="786"/>
      <c r="Z12" s="786"/>
      <c r="AA12" s="786"/>
      <c r="AB12" s="786"/>
      <c r="AC12" s="786"/>
      <c r="AD12" s="786"/>
      <c r="AE12" s="786"/>
      <c r="AF12" s="786"/>
      <c r="AG12" s="786"/>
      <c r="AH12" s="786"/>
      <c r="AI12" s="785" t="s">
        <v>2</v>
      </c>
      <c r="AJ12" s="786"/>
      <c r="AK12" s="786"/>
      <c r="AL12" s="786"/>
      <c r="AM12" s="786"/>
      <c r="AN12" s="786"/>
      <c r="AO12" s="786"/>
      <c r="AP12" s="787"/>
    </row>
    <row r="13" spans="2:42" s="4" customFormat="1" ht="11.25">
      <c r="B13" s="784"/>
      <c r="C13" s="780" t="s">
        <v>120</v>
      </c>
      <c r="D13" s="780"/>
      <c r="E13" s="780"/>
      <c r="F13" s="780"/>
      <c r="G13" s="780"/>
      <c r="H13" s="780"/>
      <c r="I13" s="785" t="s">
        <v>26</v>
      </c>
      <c r="J13" s="799"/>
      <c r="K13" s="799"/>
      <c r="L13" s="799"/>
      <c r="M13" s="799"/>
      <c r="N13" s="799"/>
      <c r="O13" s="799"/>
      <c r="P13" s="799"/>
      <c r="Q13" s="799"/>
      <c r="R13" s="799"/>
      <c r="S13" s="809"/>
      <c r="T13" s="785" t="s">
        <v>17</v>
      </c>
      <c r="U13" s="799"/>
      <c r="V13" s="799"/>
      <c r="W13" s="799"/>
      <c r="X13" s="799"/>
      <c r="Y13" s="799"/>
      <c r="Z13" s="799"/>
      <c r="AA13" s="799"/>
      <c r="AB13" s="799"/>
      <c r="AC13" s="799"/>
      <c r="AD13" s="799"/>
      <c r="AE13" s="799"/>
      <c r="AF13" s="799"/>
      <c r="AG13" s="799"/>
      <c r="AH13" s="799"/>
      <c r="AI13" s="793"/>
      <c r="AJ13" s="794"/>
      <c r="AK13" s="794"/>
      <c r="AL13" s="794"/>
      <c r="AM13" s="794"/>
      <c r="AN13" s="794"/>
      <c r="AO13" s="794"/>
      <c r="AP13" s="795"/>
    </row>
    <row r="14" spans="2:42" s="1" customFormat="1" ht="24.95" customHeight="1">
      <c r="B14" s="800">
        <v>1</v>
      </c>
      <c r="C14" s="804" t="str">
        <f>IF(I14&lt;&gt;"",パラメータ!$B$7,"")</f>
        <v/>
      </c>
      <c r="D14" s="804"/>
      <c r="E14" s="804"/>
      <c r="F14" s="804"/>
      <c r="G14" s="804"/>
      <c r="H14" s="804"/>
      <c r="I14" s="169" t="str">
        <f>IF(請求内容入力シート!$C$28&lt;&gt;"",LEFT(RIGHT("0000000000"&amp;請求内容入力シート!$C$28,10),1),"")</f>
        <v/>
      </c>
      <c r="J14" s="137" t="str">
        <f>IF(請求内容入力シート!$C$28&lt;&gt;"",LEFT(RIGHT("0000000000"&amp;請求内容入力シート!$C$28,9),1),"")</f>
        <v/>
      </c>
      <c r="K14" s="137" t="str">
        <f>IF(請求内容入力シート!$C$28&lt;&gt;"",LEFT(RIGHT("0000000000"&amp;請求内容入力シート!$C$28,8),1),"")</f>
        <v/>
      </c>
      <c r="L14" s="138" t="str">
        <f>IF(請求内容入力シート!$C$28&lt;&gt;"",LEFT(RIGHT("0000000000"&amp;請求内容入力シート!$C$28,7),1),"")</f>
        <v/>
      </c>
      <c r="M14" s="127" t="s">
        <v>117</v>
      </c>
      <c r="N14" s="136" t="str">
        <f>IF(請求内容入力シート!$C$28&lt;&gt;"",LEFT(RIGHT("0000000000"&amp;請求内容入力シート!$C$28,6),1),"")</f>
        <v/>
      </c>
      <c r="O14" s="137" t="str">
        <f>IF(請求内容入力シート!$C$28&lt;&gt;"",LEFT(RIGHT("0000000000"&amp;請求内容入力シート!$C$28,5),1),"")</f>
        <v/>
      </c>
      <c r="P14" s="137" t="str">
        <f>IF(請求内容入力シート!$C$28&lt;&gt;"",LEFT(RIGHT("0000000000"&amp;請求内容入力シート!$C$28,4),1),"")</f>
        <v/>
      </c>
      <c r="Q14" s="137" t="str">
        <f>IF(請求内容入力シート!$C$28&lt;&gt;"",LEFT(RIGHT("0000000000"&amp;請求内容入力シート!$C$28,3),1),"")</f>
        <v/>
      </c>
      <c r="R14" s="137" t="str">
        <f>IF(請求内容入力シート!$C$28&lt;&gt;"",LEFT(RIGHT("0000000000"&amp;請求内容入力シート!$C$28,2),1),"")</f>
        <v/>
      </c>
      <c r="S14" s="138" t="str">
        <f>IF(請求内容入力シート!$C$28&lt;&gt;"",LEFT(RIGHT("0000000000"&amp;請求内容入力シート!$C$28,1),1),"")</f>
        <v/>
      </c>
      <c r="T14" s="802" t="str">
        <f>IF(請求内容入力シート!$D$28&lt;&gt;"",請求内容入力シート!$D$28,"")</f>
        <v/>
      </c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170"/>
      <c r="AJ14" s="171"/>
      <c r="AK14" s="170"/>
      <c r="AL14" s="172"/>
      <c r="AM14" s="171"/>
      <c r="AN14" s="170"/>
      <c r="AO14" s="172"/>
      <c r="AP14" s="171"/>
    </row>
    <row r="15" spans="2:42" s="1" customFormat="1" ht="24.95" customHeight="1">
      <c r="B15" s="801"/>
      <c r="C15" s="805" t="str">
        <f>IF(I14&lt;&gt;"",パラメータ!$B$8&amp;"24","")</f>
        <v/>
      </c>
      <c r="D15" s="805"/>
      <c r="E15" s="805"/>
      <c r="F15" s="805"/>
      <c r="G15" s="805"/>
      <c r="H15" s="805"/>
      <c r="I15" s="806" t="s">
        <v>135</v>
      </c>
      <c r="J15" s="807"/>
      <c r="K15" s="807"/>
      <c r="L15" s="807"/>
      <c r="M15" s="807"/>
      <c r="N15" s="807"/>
      <c r="O15" s="807" t="s">
        <v>136</v>
      </c>
      <c r="P15" s="807"/>
      <c r="Q15" s="807"/>
      <c r="R15" s="807"/>
      <c r="S15" s="808"/>
      <c r="T15" s="706" t="str">
        <f>IF(請求内容入力シート!$E$28&lt;&gt;"",請求内容入力シート!$E$28,"")</f>
        <v/>
      </c>
      <c r="U15" s="707"/>
      <c r="V15" s="707"/>
      <c r="W15" s="707"/>
      <c r="X15" s="707"/>
      <c r="Y15" s="707"/>
      <c r="Z15" s="707"/>
      <c r="AA15" s="707"/>
      <c r="AB15" s="707"/>
      <c r="AC15" s="707"/>
      <c r="AD15" s="707"/>
      <c r="AE15" s="707"/>
      <c r="AF15" s="707"/>
      <c r="AG15" s="707"/>
      <c r="AH15" s="707"/>
      <c r="AI15" s="173" t="str">
        <f>IF(請求内容入力シート!$F$28&lt;&gt;"",LEFT(RIGHT("        "&amp;請求内容入力シート!$F$28,8),1),"")</f>
        <v/>
      </c>
      <c r="AJ15" s="174" t="str">
        <f>IF(請求内容入力シート!$F$28&lt;&gt;"",LEFT(RIGHT("        "&amp;請求内容入力シート!$F$28,7),1),"")</f>
        <v/>
      </c>
      <c r="AK15" s="173" t="str">
        <f>IF(請求内容入力シート!$F$28&lt;&gt;"",LEFT(RIGHT("        "&amp;請求内容入力シート!$F$28,6),1),"")</f>
        <v/>
      </c>
      <c r="AL15" s="175" t="str">
        <f>IF(請求内容入力シート!$F$28&lt;&gt;"",LEFT(RIGHT("        "&amp;請求内容入力シート!$F$28,5),1),"")</f>
        <v/>
      </c>
      <c r="AM15" s="174" t="str">
        <f>IF(請求内容入力シート!$F$28&lt;&gt;"",LEFT(RIGHT("        "&amp;請求内容入力シート!$F$28,4),1),"")</f>
        <v/>
      </c>
      <c r="AN15" s="173" t="str">
        <f>IF(請求内容入力シート!$F$28&lt;&gt;"",LEFT(RIGHT("        "&amp;請求内容入力シート!$F$28,3),1),"")</f>
        <v/>
      </c>
      <c r="AO15" s="175" t="str">
        <f>IF(請求内容入力シート!$F$28&lt;&gt;"",LEFT(RIGHT("        "&amp;請求内容入力シート!$F$28,2),1),"")</f>
        <v/>
      </c>
      <c r="AP15" s="174" t="str">
        <f>IF(請求内容入力シート!$F$28&lt;&gt;"",LEFT(RIGHT("        "&amp;請求内容入力シート!$F$28,1),1),"")</f>
        <v/>
      </c>
    </row>
    <row r="16" spans="2:42" s="1" customFormat="1" ht="24.95" customHeight="1" thickBot="1">
      <c r="B16" s="5"/>
      <c r="C16" s="5"/>
      <c r="D16" s="5"/>
      <c r="E16" s="5"/>
      <c r="F16" s="810" t="s">
        <v>22</v>
      </c>
      <c r="G16" s="810"/>
      <c r="H16" s="810"/>
      <c r="AD16" s="722" t="s">
        <v>5</v>
      </c>
      <c r="AE16" s="686"/>
      <c r="AF16" s="686"/>
      <c r="AG16" s="686"/>
      <c r="AH16" s="686"/>
      <c r="AI16" s="170" t="str">
        <f>IF(請求内容入力シート!$G$28&lt;&gt;"",LEFT(RIGHT("        "&amp;請求内容入力シート!$G$28,8),1),"")</f>
        <v/>
      </c>
      <c r="AJ16" s="171" t="str">
        <f>IF(請求内容入力シート!$G$28&lt;&gt;"",LEFT(RIGHT("        "&amp;請求内容入力シート!$G$28,7),1),"")</f>
        <v/>
      </c>
      <c r="AK16" s="170" t="str">
        <f>IF(請求内容入力シート!$G$28&lt;&gt;"",LEFT(RIGHT("        "&amp;請求内容入力シート!$G$28,6),1),"")</f>
        <v/>
      </c>
      <c r="AL16" s="172" t="str">
        <f>IF(請求内容入力シート!$G$28&lt;&gt;"",LEFT(RIGHT("        "&amp;請求内容入力シート!$G$28,5),1),"")</f>
        <v/>
      </c>
      <c r="AM16" s="171" t="str">
        <f>IF(請求内容入力シート!$G$28&lt;&gt;"",LEFT(RIGHT("        "&amp;請求内容入力シート!$G$28,4),1),"")</f>
        <v/>
      </c>
      <c r="AN16" s="170" t="str">
        <f>IF(請求内容入力シート!$G$28&lt;&gt;"",LEFT(RIGHT("        "&amp;請求内容入力シート!$G$28,3),1),"")</f>
        <v/>
      </c>
      <c r="AO16" s="172" t="str">
        <f>IF(請求内容入力シート!$G$28&lt;&gt;"",LEFT(RIGHT("        "&amp;請求内容入力シート!$G$28,2),1),"")</f>
        <v/>
      </c>
      <c r="AP16" s="171" t="str">
        <f>IF(請求内容入力シート!$G$28&lt;&gt;"",LEFT(RIGHT("        "&amp;請求内容入力シート!$G$28,1),1),"")</f>
        <v/>
      </c>
    </row>
    <row r="17" spans="1:42" s="1" customFormat="1" ht="24.95" customHeight="1" thickBot="1">
      <c r="A17" s="1" t="s">
        <v>3</v>
      </c>
      <c r="B17" s="811" t="s">
        <v>21</v>
      </c>
      <c r="C17" s="812"/>
      <c r="D17" s="812"/>
      <c r="E17" s="812"/>
      <c r="F17" s="180" t="str">
        <f>IF(請求内容入力シート!$C$28&lt;&gt;"",LEFT(RIGHT("00000000"&amp;請求内容入力シート!$O$13,8),1),"")</f>
        <v/>
      </c>
      <c r="G17" s="182" t="str">
        <f>IF(請求内容入力シート!$C$28&lt;&gt;"",LEFT(RIGHT("00000000"&amp;請求内容入力シート!$O$13,7),1),"")</f>
        <v/>
      </c>
      <c r="H17" s="182" t="str">
        <f>IF(請求内容入力シート!$C$28&lt;&gt;"",LEFT(RIGHT("00000000"&amp;請求内容入力シート!$O$13,6),1),"")</f>
        <v/>
      </c>
      <c r="I17" s="181" t="str">
        <f>IF(請求内容入力シート!$C$28&lt;&gt;"",LEFT(RIGHT("00000000"&amp;請求内容入力シート!$O$13,5),1),"")</f>
        <v/>
      </c>
      <c r="J17" s="6" t="s">
        <v>23</v>
      </c>
      <c r="K17" s="181" t="str">
        <f>IF(請求内容入力シート!$C$28&lt;&gt;"",LEFT(RIGHT("00000000"&amp;請求内容入力シート!$O$13,4),1),"")</f>
        <v/>
      </c>
      <c r="L17" s="183" t="str">
        <f>IF(請求内容入力シート!$C$28&lt;&gt;"",LEFT(RIGHT("00000000"&amp;請求内容入力シート!$O$13,3),1),"")</f>
        <v/>
      </c>
      <c r="M17" s="6" t="s">
        <v>24</v>
      </c>
      <c r="N17" s="181" t="str">
        <f>IF(請求内容入力シート!$C$28&lt;&gt;"",LEFT(RIGHT("00000000"&amp;請求内容入力シート!$O$13,2),1),"")</f>
        <v/>
      </c>
      <c r="O17" s="183" t="str">
        <f>IF(請求内容入力シート!$C$28&lt;&gt;"",LEFT(RIGHT("00000000"&amp;請求内容入力シート!$O$13,1),1),"")</f>
        <v/>
      </c>
      <c r="P17" s="6" t="s">
        <v>25</v>
      </c>
      <c r="Q17" s="6" t="s">
        <v>29</v>
      </c>
      <c r="R17" s="180" t="str">
        <f>IF(請求内容入力シート!$C$28&lt;&gt;"",LEFT(RIGHT("00000000"&amp;請求内容入力シート!$Q$13,8),1),"")</f>
        <v/>
      </c>
      <c r="S17" s="182" t="str">
        <f>IF(請求内容入力シート!$C$28&lt;&gt;"",LEFT(RIGHT("00000000"&amp;請求内容入力シート!$Q$13,7),1),"")</f>
        <v/>
      </c>
      <c r="T17" s="182" t="str">
        <f>IF(請求内容入力シート!$C$28&lt;&gt;"",LEFT(RIGHT("00000000"&amp;請求内容入力シート!$Q$13,6),1),"")</f>
        <v/>
      </c>
      <c r="U17" s="181" t="str">
        <f>IF(請求内容入力シート!$C$28&lt;&gt;"",LEFT(RIGHT("00000000"&amp;請求内容入力シート!$Q$13,5),1),"")</f>
        <v/>
      </c>
      <c r="V17" s="6" t="s">
        <v>23</v>
      </c>
      <c r="W17" s="181" t="str">
        <f>IF(請求内容入力シート!$C$28&lt;&gt;"",LEFT(RIGHT("00000000"&amp;請求内容入力シート!$Q$13,4),1),"")</f>
        <v/>
      </c>
      <c r="X17" s="183" t="str">
        <f>IF(請求内容入力シート!$C$28&lt;&gt;"",LEFT(RIGHT("00000000"&amp;請求内容入力シート!$Q$13,3),1),"")</f>
        <v/>
      </c>
      <c r="Y17" s="6" t="s">
        <v>24</v>
      </c>
      <c r="Z17" s="181" t="str">
        <f>IF(請求内容入力シート!$C$28&lt;&gt;"",LEFT(RIGHT("00000000"&amp;請求内容入力シート!$Q$13,2),1),"")</f>
        <v/>
      </c>
      <c r="AA17" s="183" t="str">
        <f>IF(請求内容入力シート!$C$28&lt;&gt;"",LEFT(RIGHT("00000000"&amp;請求内容入力シート!$Q$13,1),1),"")</f>
        <v/>
      </c>
      <c r="AB17" s="6" t="s">
        <v>118</v>
      </c>
      <c r="AC17" s="7"/>
      <c r="AD17" s="813" t="s">
        <v>6</v>
      </c>
      <c r="AE17" s="814"/>
      <c r="AF17" s="814"/>
      <c r="AG17" s="814"/>
      <c r="AH17" s="814"/>
      <c r="AI17" s="176" t="str">
        <f>IF(請求内容入力シート!$H$28&lt;&gt;"",LEFT(RIGHT("        "&amp;請求内容入力シート!$H$28,8),1),"")</f>
        <v xml:space="preserve"> </v>
      </c>
      <c r="AJ17" s="177" t="str">
        <f>IF(請求内容入力シート!$H$28&lt;&gt;"",LEFT(RIGHT("        "&amp;請求内容入力シート!$H$28,7),1),"")</f>
        <v xml:space="preserve"> </v>
      </c>
      <c r="AK17" s="176" t="str">
        <f>IF(請求内容入力シート!$H$28&lt;&gt;"",LEFT(RIGHT("        "&amp;請求内容入力シート!$H$28,6),1),"")</f>
        <v xml:space="preserve"> </v>
      </c>
      <c r="AL17" s="178" t="str">
        <f>IF(請求内容入力シート!$H$28&lt;&gt;"",LEFT(RIGHT("        "&amp;請求内容入力シート!$H$28,5),1),"")</f>
        <v xml:space="preserve"> </v>
      </c>
      <c r="AM17" s="177" t="str">
        <f>IF(請求内容入力シート!$H$28&lt;&gt;"",LEFT(RIGHT("        "&amp;請求内容入力シート!$H$28,4),1),"")</f>
        <v xml:space="preserve"> </v>
      </c>
      <c r="AN17" s="176" t="str">
        <f>IF(請求内容入力シート!$H$28&lt;&gt;"",LEFT(RIGHT("        "&amp;請求内容入力シート!$H$28,3),1),"")</f>
        <v xml:space="preserve"> </v>
      </c>
      <c r="AO17" s="178" t="str">
        <f>IF(請求内容入力シート!$H$28&lt;&gt;"",LEFT(RIGHT("        "&amp;請求内容入力シート!$H$28,2),1),"")</f>
        <v xml:space="preserve"> </v>
      </c>
      <c r="AP17" s="179" t="str">
        <f>IF(請求内容入力シート!$H$28&lt;&gt;"",LEFT(RIGHT("        "&amp;請求内容入力シート!$H$28,1),1),"")</f>
        <v>0</v>
      </c>
    </row>
    <row r="18" spans="1:42" s="1" customFormat="1" ht="50.1" customHeight="1">
      <c r="AE18" s="3"/>
      <c r="AF18" s="3"/>
      <c r="AG18" s="3"/>
      <c r="AH18" s="3"/>
    </row>
    <row r="19" spans="1:42" s="4" customFormat="1" ht="11.25">
      <c r="B19" s="783" t="s">
        <v>28</v>
      </c>
      <c r="C19" s="779" t="s">
        <v>14</v>
      </c>
      <c r="D19" s="779"/>
      <c r="E19" s="779"/>
      <c r="F19" s="779"/>
      <c r="G19" s="779"/>
      <c r="H19" s="779"/>
      <c r="I19" s="785" t="s">
        <v>27</v>
      </c>
      <c r="J19" s="786"/>
      <c r="K19" s="786"/>
      <c r="L19" s="786"/>
      <c r="M19" s="786"/>
      <c r="N19" s="786"/>
      <c r="O19" s="786"/>
      <c r="P19" s="786"/>
      <c r="Q19" s="786"/>
      <c r="R19" s="786"/>
      <c r="S19" s="787"/>
      <c r="T19" s="785" t="s">
        <v>16</v>
      </c>
      <c r="U19" s="786"/>
      <c r="V19" s="786"/>
      <c r="W19" s="786"/>
      <c r="X19" s="786"/>
      <c r="Y19" s="786"/>
      <c r="Z19" s="786"/>
      <c r="AA19" s="786"/>
      <c r="AB19" s="786"/>
      <c r="AC19" s="786"/>
      <c r="AD19" s="786"/>
      <c r="AE19" s="786"/>
      <c r="AF19" s="786"/>
      <c r="AG19" s="786"/>
      <c r="AH19" s="786"/>
      <c r="AI19" s="785" t="s">
        <v>2</v>
      </c>
      <c r="AJ19" s="786"/>
      <c r="AK19" s="786"/>
      <c r="AL19" s="786"/>
      <c r="AM19" s="786"/>
      <c r="AN19" s="786"/>
      <c r="AO19" s="786"/>
      <c r="AP19" s="787"/>
    </row>
    <row r="20" spans="1:42" s="4" customFormat="1" ht="11.25">
      <c r="B20" s="784"/>
      <c r="C20" s="780" t="s">
        <v>120</v>
      </c>
      <c r="D20" s="780"/>
      <c r="E20" s="780"/>
      <c r="F20" s="780"/>
      <c r="G20" s="780"/>
      <c r="H20" s="780"/>
      <c r="I20" s="785" t="s">
        <v>26</v>
      </c>
      <c r="J20" s="799"/>
      <c r="K20" s="799"/>
      <c r="L20" s="799"/>
      <c r="M20" s="799"/>
      <c r="N20" s="799"/>
      <c r="O20" s="799"/>
      <c r="P20" s="799"/>
      <c r="Q20" s="799"/>
      <c r="R20" s="799"/>
      <c r="S20" s="809"/>
      <c r="T20" s="785" t="s">
        <v>17</v>
      </c>
      <c r="U20" s="799"/>
      <c r="V20" s="799"/>
      <c r="W20" s="799"/>
      <c r="X20" s="799"/>
      <c r="Y20" s="799"/>
      <c r="Z20" s="799"/>
      <c r="AA20" s="799"/>
      <c r="AB20" s="799"/>
      <c r="AC20" s="799"/>
      <c r="AD20" s="799"/>
      <c r="AE20" s="799"/>
      <c r="AF20" s="799"/>
      <c r="AG20" s="799"/>
      <c r="AH20" s="799"/>
      <c r="AI20" s="793"/>
      <c r="AJ20" s="794"/>
      <c r="AK20" s="794"/>
      <c r="AL20" s="794"/>
      <c r="AM20" s="794"/>
      <c r="AN20" s="794"/>
      <c r="AO20" s="794"/>
      <c r="AP20" s="795"/>
    </row>
    <row r="21" spans="1:42" s="1" customFormat="1" ht="24.95" customHeight="1">
      <c r="B21" s="800">
        <v>2</v>
      </c>
      <c r="C21" s="804" t="str">
        <f>IF(I21&lt;&gt;"",パラメータ!$B$7,"")</f>
        <v/>
      </c>
      <c r="D21" s="804"/>
      <c r="E21" s="804"/>
      <c r="F21" s="804"/>
      <c r="G21" s="804"/>
      <c r="H21" s="804"/>
      <c r="I21" s="169" t="str">
        <f>IF(請求内容入力シート!$C$29&lt;&gt;"",LEFT(RIGHT("0000000000"&amp;請求内容入力シート!$C$29,10),1),"")</f>
        <v/>
      </c>
      <c r="J21" s="137" t="str">
        <f>IF(請求内容入力シート!$C$29&lt;&gt;"",LEFT(RIGHT("0000000000"&amp;請求内容入力シート!$C$29,9),1),"")</f>
        <v/>
      </c>
      <c r="K21" s="137" t="str">
        <f>IF(請求内容入力シート!$C$29&lt;&gt;"",LEFT(RIGHT("0000000000"&amp;請求内容入力シート!$C$29,8),1),"")</f>
        <v/>
      </c>
      <c r="L21" s="138" t="str">
        <f>IF(請求内容入力シート!$C$29&lt;&gt;"",LEFT(RIGHT("0000000000"&amp;請求内容入力シート!$C$29,7),1),"")</f>
        <v/>
      </c>
      <c r="M21" s="127" t="s">
        <v>117</v>
      </c>
      <c r="N21" s="136" t="str">
        <f>IF(請求内容入力シート!$C$29&lt;&gt;"",LEFT(RIGHT("0000000000"&amp;請求内容入力シート!$C$29,6),1),"")</f>
        <v/>
      </c>
      <c r="O21" s="137" t="str">
        <f>IF(請求内容入力シート!$C$29&lt;&gt;"",LEFT(RIGHT("0000000000"&amp;請求内容入力シート!$C$29,5),1),"")</f>
        <v/>
      </c>
      <c r="P21" s="137" t="str">
        <f>IF(請求内容入力シート!$C$29&lt;&gt;"",LEFT(RIGHT("0000000000"&amp;請求内容入力シート!$C$29,4),1),"")</f>
        <v/>
      </c>
      <c r="Q21" s="137" t="str">
        <f>IF(請求内容入力シート!$C$29&lt;&gt;"",LEFT(RIGHT("0000000000"&amp;請求内容入力シート!$C$29,3),1),"")</f>
        <v/>
      </c>
      <c r="R21" s="137" t="str">
        <f>IF(請求内容入力シート!$C$29&lt;&gt;"",LEFT(RIGHT("0000000000"&amp;請求内容入力シート!$C$29,2),1),"")</f>
        <v/>
      </c>
      <c r="S21" s="138" t="str">
        <f>IF(請求内容入力シート!$C$29&lt;&gt;"",LEFT(RIGHT("0000000000"&amp;請求内容入力シート!$C$29,1),1),"")</f>
        <v/>
      </c>
      <c r="T21" s="818" t="str">
        <f>IF(請求内容入力シート!$D$29&lt;&gt;"",請求内容入力シート!$D$29,"")</f>
        <v/>
      </c>
      <c r="U21" s="819"/>
      <c r="V21" s="819"/>
      <c r="W21" s="819"/>
      <c r="X21" s="819"/>
      <c r="Y21" s="819"/>
      <c r="Z21" s="819"/>
      <c r="AA21" s="819"/>
      <c r="AB21" s="819"/>
      <c r="AC21" s="819"/>
      <c r="AD21" s="819"/>
      <c r="AE21" s="819"/>
      <c r="AF21" s="819"/>
      <c r="AG21" s="819"/>
      <c r="AH21" s="819"/>
      <c r="AI21" s="170"/>
      <c r="AJ21" s="171"/>
      <c r="AK21" s="170"/>
      <c r="AL21" s="172"/>
      <c r="AM21" s="171"/>
      <c r="AN21" s="170"/>
      <c r="AO21" s="172"/>
      <c r="AP21" s="171"/>
    </row>
    <row r="22" spans="1:42" s="1" customFormat="1" ht="24.95" customHeight="1">
      <c r="B22" s="801"/>
      <c r="C22" s="805" t="str">
        <f>IF(I21&lt;&gt;"",パラメータ!$B$8&amp;"25","")</f>
        <v/>
      </c>
      <c r="D22" s="805"/>
      <c r="E22" s="805"/>
      <c r="F22" s="805"/>
      <c r="G22" s="805"/>
      <c r="H22" s="805"/>
      <c r="I22" s="806" t="s">
        <v>135</v>
      </c>
      <c r="J22" s="807"/>
      <c r="K22" s="807"/>
      <c r="L22" s="807"/>
      <c r="M22" s="807"/>
      <c r="N22" s="807"/>
      <c r="O22" s="807" t="s">
        <v>136</v>
      </c>
      <c r="P22" s="807"/>
      <c r="Q22" s="807"/>
      <c r="R22" s="807"/>
      <c r="S22" s="808"/>
      <c r="T22" s="820" t="str">
        <f>IF(請求内容入力シート!$E$29&lt;&gt;"",請求内容入力シート!$E$29,"")</f>
        <v/>
      </c>
      <c r="U22" s="821"/>
      <c r="V22" s="821"/>
      <c r="W22" s="821"/>
      <c r="X22" s="821"/>
      <c r="Y22" s="821"/>
      <c r="Z22" s="821"/>
      <c r="AA22" s="821"/>
      <c r="AB22" s="821"/>
      <c r="AC22" s="821"/>
      <c r="AD22" s="821"/>
      <c r="AE22" s="821"/>
      <c r="AF22" s="821"/>
      <c r="AG22" s="821"/>
      <c r="AH22" s="821"/>
      <c r="AI22" s="173" t="str">
        <f>IF(請求内容入力シート!$F$29&lt;&gt;"",LEFT(RIGHT("        "&amp;請求内容入力シート!$F$29,8),1),"")</f>
        <v/>
      </c>
      <c r="AJ22" s="174" t="str">
        <f>IF(請求内容入力シート!$F$29&lt;&gt;"",LEFT(RIGHT("        "&amp;請求内容入力シート!$F$29,7),1),"")</f>
        <v/>
      </c>
      <c r="AK22" s="173" t="str">
        <f>IF(請求内容入力シート!$F$29&lt;&gt;"",LEFT(RIGHT("        "&amp;請求内容入力シート!$F$29,6),1),"")</f>
        <v/>
      </c>
      <c r="AL22" s="175" t="str">
        <f>IF(請求内容入力シート!$F$29&lt;&gt;"",LEFT(RIGHT("        "&amp;請求内容入力シート!$F$29,5),1),"")</f>
        <v/>
      </c>
      <c r="AM22" s="174" t="str">
        <f>IF(請求内容入力シート!$F$29&lt;&gt;"",LEFT(RIGHT("        "&amp;請求内容入力シート!$F$29,4),1),"")</f>
        <v/>
      </c>
      <c r="AN22" s="173" t="str">
        <f>IF(請求内容入力シート!$F$29&lt;&gt;"",LEFT(RIGHT("        "&amp;請求内容入力シート!$F$29,3),1),"")</f>
        <v/>
      </c>
      <c r="AO22" s="175" t="str">
        <f>IF(請求内容入力シート!$F$29&lt;&gt;"",LEFT(RIGHT("        "&amp;請求内容入力シート!$F$29,2),1),"")</f>
        <v/>
      </c>
      <c r="AP22" s="174" t="str">
        <f>IF(請求内容入力シート!$F$29&lt;&gt;"",LEFT(RIGHT("        "&amp;請求内容入力シート!$F$29,1),1),"")</f>
        <v/>
      </c>
    </row>
    <row r="23" spans="1:42" s="1" customFormat="1" ht="24.95" customHeight="1" thickBot="1">
      <c r="B23" s="5"/>
      <c r="C23" s="5"/>
      <c r="D23" s="5"/>
      <c r="E23" s="5"/>
      <c r="F23" s="810" t="s">
        <v>22</v>
      </c>
      <c r="G23" s="810"/>
      <c r="H23" s="810"/>
      <c r="AD23" s="722" t="s">
        <v>5</v>
      </c>
      <c r="AE23" s="686"/>
      <c r="AF23" s="686"/>
      <c r="AG23" s="686"/>
      <c r="AH23" s="686"/>
      <c r="AI23" s="170" t="str">
        <f>IF(請求内容入力シート!$G$29&lt;&gt;"",LEFT(RIGHT("        "&amp;請求内容入力シート!$G$29,8),1),"")</f>
        <v/>
      </c>
      <c r="AJ23" s="171" t="str">
        <f>IF(請求内容入力シート!$G$29&lt;&gt;"",LEFT(RIGHT("        "&amp;請求内容入力シート!$G$29,7),1),"")</f>
        <v/>
      </c>
      <c r="AK23" s="170" t="str">
        <f>IF(請求内容入力シート!$G$29&lt;&gt;"",LEFT(RIGHT("        "&amp;請求内容入力シート!$G$29,6),1),"")</f>
        <v/>
      </c>
      <c r="AL23" s="172" t="str">
        <f>IF(請求内容入力シート!$G$29&lt;&gt;"",LEFT(RIGHT("        "&amp;請求内容入力シート!$G$29,5),1),"")</f>
        <v/>
      </c>
      <c r="AM23" s="171" t="str">
        <f>IF(請求内容入力シート!$G$29&lt;&gt;"",LEFT(RIGHT("        "&amp;請求内容入力シート!$G$29,4),1),"")</f>
        <v/>
      </c>
      <c r="AN23" s="170" t="str">
        <f>IF(請求内容入力シート!$G$29&lt;&gt;"",LEFT(RIGHT("        "&amp;請求内容入力シート!$G$29,3),1),"")</f>
        <v/>
      </c>
      <c r="AO23" s="172" t="str">
        <f>IF(請求内容入力シート!$G$29&lt;&gt;"",LEFT(RIGHT("        "&amp;請求内容入力シート!$G$29,2),1),"")</f>
        <v/>
      </c>
      <c r="AP23" s="171" t="str">
        <f>IF(請求内容入力シート!$G$29&lt;&gt;"",LEFT(RIGHT("        "&amp;請求内容入力シート!$G$29,1),1),"")</f>
        <v/>
      </c>
    </row>
    <row r="24" spans="1:42" s="1" customFormat="1" ht="24.95" customHeight="1" thickBot="1">
      <c r="A24" s="1" t="s">
        <v>3</v>
      </c>
      <c r="B24" s="811" t="s">
        <v>21</v>
      </c>
      <c r="C24" s="812"/>
      <c r="D24" s="812"/>
      <c r="E24" s="812"/>
      <c r="F24" s="180" t="str">
        <f>IF(請求内容入力シート!$C$29&lt;&gt;"",LEFT(RIGHT("00000000"&amp;請求内容入力シート!$O$13,8),1),"")</f>
        <v/>
      </c>
      <c r="G24" s="182" t="str">
        <f>IF(請求内容入力シート!$C$29&lt;&gt;"",LEFT(RIGHT("00000000"&amp;請求内容入力シート!$O$13,7),1),"")</f>
        <v/>
      </c>
      <c r="H24" s="182" t="str">
        <f>IF(請求内容入力シート!$C$29&lt;&gt;"",LEFT(RIGHT("00000000"&amp;請求内容入力シート!$O$13,6),1),"")</f>
        <v/>
      </c>
      <c r="I24" s="181" t="str">
        <f>IF(請求内容入力シート!$C$29&lt;&gt;"",LEFT(RIGHT("00000000"&amp;請求内容入力シート!$O$13,5),1),"")</f>
        <v/>
      </c>
      <c r="J24" s="6" t="s">
        <v>23</v>
      </c>
      <c r="K24" s="181" t="str">
        <f>IF(請求内容入力シート!$C$29&lt;&gt;"",LEFT(RIGHT("00000000"&amp;請求内容入力シート!$O$13,4),1),"")</f>
        <v/>
      </c>
      <c r="L24" s="183" t="str">
        <f>IF(請求内容入力シート!$C$29&lt;&gt;"",LEFT(RIGHT("00000000"&amp;請求内容入力シート!$O$13,3),1),"")</f>
        <v/>
      </c>
      <c r="M24" s="6" t="s">
        <v>24</v>
      </c>
      <c r="N24" s="181" t="str">
        <f>IF(請求内容入力シート!$C$29&lt;&gt;"",LEFT(RIGHT("00000000"&amp;請求内容入力シート!$O$13,2),1),"")</f>
        <v/>
      </c>
      <c r="O24" s="183" t="str">
        <f>IF(請求内容入力シート!$C$29&lt;&gt;"",LEFT(RIGHT("00000000"&amp;請求内容入力シート!$O$13,1),1),"")</f>
        <v/>
      </c>
      <c r="P24" s="6" t="s">
        <v>25</v>
      </c>
      <c r="Q24" s="6" t="s">
        <v>29</v>
      </c>
      <c r="R24" s="180" t="str">
        <f>IF(請求内容入力シート!$C$29&lt;&gt;"",LEFT(RIGHT("00000000"&amp;請求内容入力シート!$Q$13,8),1),"")</f>
        <v/>
      </c>
      <c r="S24" s="182" t="str">
        <f>IF(請求内容入力シート!$C$29&lt;&gt;"",LEFT(RIGHT("00000000"&amp;請求内容入力シート!$Q$13,7),1),"")</f>
        <v/>
      </c>
      <c r="T24" s="182" t="str">
        <f>IF(請求内容入力シート!$C$29&lt;&gt;"",LEFT(RIGHT("00000000"&amp;請求内容入力シート!$Q$13,6),1),"")</f>
        <v/>
      </c>
      <c r="U24" s="181" t="str">
        <f>IF(請求内容入力シート!$C$29&lt;&gt;"",LEFT(RIGHT("00000000"&amp;請求内容入力シート!$Q$13,5),1),"")</f>
        <v/>
      </c>
      <c r="V24" s="6" t="s">
        <v>23</v>
      </c>
      <c r="W24" s="181" t="str">
        <f>IF(請求内容入力シート!$C$29&lt;&gt;"",LEFT(RIGHT("00000000"&amp;請求内容入力シート!$Q$13,4),1),"")</f>
        <v/>
      </c>
      <c r="X24" s="183" t="str">
        <f>IF(請求内容入力シート!$C$29&lt;&gt;"",LEFT(RIGHT("00000000"&amp;請求内容入力シート!$Q$13,3),1),"")</f>
        <v/>
      </c>
      <c r="Y24" s="6" t="s">
        <v>24</v>
      </c>
      <c r="Z24" s="181" t="str">
        <f>IF(請求内容入力シート!$C$29&lt;&gt;"",LEFT(RIGHT("00000000"&amp;請求内容入力シート!$Q$13,2),1),"")</f>
        <v/>
      </c>
      <c r="AA24" s="183" t="str">
        <f>IF(請求内容入力シート!$C$29&lt;&gt;"",LEFT(RIGHT("00000000"&amp;請求内容入力シート!$Q$13,1),1),"")</f>
        <v/>
      </c>
      <c r="AB24" s="6" t="s">
        <v>118</v>
      </c>
      <c r="AC24" s="7"/>
      <c r="AD24" s="813" t="s">
        <v>6</v>
      </c>
      <c r="AE24" s="814"/>
      <c r="AF24" s="814"/>
      <c r="AG24" s="814"/>
      <c r="AH24" s="814"/>
      <c r="AI24" s="176" t="str">
        <f>IF(請求内容入力シート!$H$29&lt;&gt;"",LEFT(RIGHT("        "&amp;請求内容入力シート!$H$29,8),1),"")</f>
        <v xml:space="preserve"> </v>
      </c>
      <c r="AJ24" s="177" t="str">
        <f>IF(請求内容入力シート!$H$29&lt;&gt;"",LEFT(RIGHT("        "&amp;請求内容入力シート!$H$29,7),1),"")</f>
        <v xml:space="preserve"> </v>
      </c>
      <c r="AK24" s="176" t="str">
        <f>IF(請求内容入力シート!$H$29&lt;&gt;"",LEFT(RIGHT("        "&amp;請求内容入力シート!$H$29,6),1),"")</f>
        <v xml:space="preserve"> </v>
      </c>
      <c r="AL24" s="178" t="str">
        <f>IF(請求内容入力シート!$H$29&lt;&gt;"",LEFT(RIGHT("        "&amp;請求内容入力シート!$H$29,5),1),"")</f>
        <v xml:space="preserve"> </v>
      </c>
      <c r="AM24" s="177" t="str">
        <f>IF(請求内容入力シート!$H$29&lt;&gt;"",LEFT(RIGHT("        "&amp;請求内容入力シート!$H$29,4),1),"")</f>
        <v xml:space="preserve"> </v>
      </c>
      <c r="AN24" s="176" t="str">
        <f>IF(請求内容入力シート!$H$29&lt;&gt;"",LEFT(RIGHT("        "&amp;請求内容入力シート!$H$29,3),1),"")</f>
        <v xml:space="preserve"> </v>
      </c>
      <c r="AO24" s="178" t="str">
        <f>IF(請求内容入力シート!$H$29&lt;&gt;"",LEFT(RIGHT("        "&amp;請求内容入力シート!$H$29,2),1),"")</f>
        <v xml:space="preserve"> </v>
      </c>
      <c r="AP24" s="179" t="str">
        <f>IF(請求内容入力シート!$H$29&lt;&gt;"",LEFT(RIGHT("        "&amp;請求内容入力シート!$H$29,1),1),"")</f>
        <v>0</v>
      </c>
    </row>
    <row r="25" spans="1:42" s="1" customFormat="1" ht="50.1" customHeight="1">
      <c r="AE25" s="3"/>
      <c r="AF25" s="3"/>
      <c r="AG25" s="3"/>
      <c r="AH25" s="3"/>
    </row>
    <row r="26" spans="1:42" s="4" customFormat="1" ht="11.25">
      <c r="B26" s="783" t="s">
        <v>28</v>
      </c>
      <c r="C26" s="779" t="s">
        <v>14</v>
      </c>
      <c r="D26" s="779"/>
      <c r="E26" s="779"/>
      <c r="F26" s="779"/>
      <c r="G26" s="779"/>
      <c r="H26" s="779"/>
      <c r="I26" s="785" t="s">
        <v>27</v>
      </c>
      <c r="J26" s="786"/>
      <c r="K26" s="786"/>
      <c r="L26" s="786"/>
      <c r="M26" s="786"/>
      <c r="N26" s="786"/>
      <c r="O26" s="786"/>
      <c r="P26" s="786"/>
      <c r="Q26" s="786"/>
      <c r="R26" s="786"/>
      <c r="S26" s="787"/>
      <c r="T26" s="785" t="s">
        <v>16</v>
      </c>
      <c r="U26" s="786"/>
      <c r="V26" s="786"/>
      <c r="W26" s="786"/>
      <c r="X26" s="786"/>
      <c r="Y26" s="786"/>
      <c r="Z26" s="786"/>
      <c r="AA26" s="786"/>
      <c r="AB26" s="786"/>
      <c r="AC26" s="786"/>
      <c r="AD26" s="786"/>
      <c r="AE26" s="786"/>
      <c r="AF26" s="786"/>
      <c r="AG26" s="786"/>
      <c r="AH26" s="786"/>
      <c r="AI26" s="785" t="s">
        <v>2</v>
      </c>
      <c r="AJ26" s="786"/>
      <c r="AK26" s="786"/>
      <c r="AL26" s="786"/>
      <c r="AM26" s="786"/>
      <c r="AN26" s="786"/>
      <c r="AO26" s="786"/>
      <c r="AP26" s="787"/>
    </row>
    <row r="27" spans="1:42" s="4" customFormat="1" ht="11.25">
      <c r="B27" s="784"/>
      <c r="C27" s="780" t="s">
        <v>120</v>
      </c>
      <c r="D27" s="780"/>
      <c r="E27" s="780"/>
      <c r="F27" s="780"/>
      <c r="G27" s="780"/>
      <c r="H27" s="780"/>
      <c r="I27" s="785" t="s">
        <v>26</v>
      </c>
      <c r="J27" s="799"/>
      <c r="K27" s="799"/>
      <c r="L27" s="799"/>
      <c r="M27" s="799"/>
      <c r="N27" s="799"/>
      <c r="O27" s="799"/>
      <c r="P27" s="799"/>
      <c r="Q27" s="799"/>
      <c r="R27" s="799"/>
      <c r="S27" s="809"/>
      <c r="T27" s="785" t="s">
        <v>17</v>
      </c>
      <c r="U27" s="799"/>
      <c r="V27" s="799"/>
      <c r="W27" s="799"/>
      <c r="X27" s="799"/>
      <c r="Y27" s="799"/>
      <c r="Z27" s="799"/>
      <c r="AA27" s="799"/>
      <c r="AB27" s="799"/>
      <c r="AC27" s="799"/>
      <c r="AD27" s="799"/>
      <c r="AE27" s="799"/>
      <c r="AF27" s="799"/>
      <c r="AG27" s="799"/>
      <c r="AH27" s="799"/>
      <c r="AI27" s="793"/>
      <c r="AJ27" s="794"/>
      <c r="AK27" s="794"/>
      <c r="AL27" s="794"/>
      <c r="AM27" s="794"/>
      <c r="AN27" s="794"/>
      <c r="AO27" s="794"/>
      <c r="AP27" s="795"/>
    </row>
    <row r="28" spans="1:42" s="1" customFormat="1" ht="24.95" customHeight="1">
      <c r="B28" s="800">
        <v>6</v>
      </c>
      <c r="C28" s="804" t="str">
        <f>IF(I28&lt;&gt;"",パラメータ!$B$7,"")</f>
        <v/>
      </c>
      <c r="D28" s="804"/>
      <c r="E28" s="804"/>
      <c r="F28" s="804"/>
      <c r="G28" s="804"/>
      <c r="H28" s="804"/>
      <c r="I28" s="169" t="str">
        <f>IF(請求内容入力シート!$C$30&lt;&gt;"",LEFT(RIGHT("0000000000"&amp;請求内容入力シート!$C$30,10),1),"")</f>
        <v/>
      </c>
      <c r="J28" s="137" t="str">
        <f>IF(請求内容入力シート!$C$30&lt;&gt;"",LEFT(RIGHT("0000000000"&amp;請求内容入力シート!$C$30,9),1),"")</f>
        <v/>
      </c>
      <c r="K28" s="137" t="str">
        <f>IF(請求内容入力シート!$C$30&lt;&gt;"",LEFT(RIGHT("0000000000"&amp;請求内容入力シート!$C$30,8),1),"")</f>
        <v/>
      </c>
      <c r="L28" s="138" t="str">
        <f>IF(請求内容入力シート!$C$30&lt;&gt;"",LEFT(RIGHT("0000000000"&amp;請求内容入力シート!$C$30,7),1),"")</f>
        <v/>
      </c>
      <c r="M28" s="127" t="s">
        <v>117</v>
      </c>
      <c r="N28" s="136" t="str">
        <f>IF(請求内容入力シート!$C$30&lt;&gt;"",LEFT(RIGHT("0000000000"&amp;請求内容入力シート!$C$30,6),1),"")</f>
        <v/>
      </c>
      <c r="O28" s="137" t="str">
        <f>IF(請求内容入力シート!$C$30&lt;&gt;"",LEFT(RIGHT("0000000000"&amp;請求内容入力シート!$C$30,5),1),"")</f>
        <v/>
      </c>
      <c r="P28" s="137" t="str">
        <f>IF(請求内容入力シート!$C$30&lt;&gt;"",LEFT(RIGHT("0000000000"&amp;請求内容入力シート!$C$30,4),1),"")</f>
        <v/>
      </c>
      <c r="Q28" s="137" t="str">
        <f>IF(請求内容入力シート!$C$30&lt;&gt;"",LEFT(RIGHT("0000000000"&amp;請求内容入力シート!$C$30,3),1),"")</f>
        <v/>
      </c>
      <c r="R28" s="137" t="str">
        <f>IF(請求内容入力シート!$C$30&lt;&gt;"",LEFT(RIGHT("0000000000"&amp;請求内容入力シート!$C$30,2),1),"")</f>
        <v/>
      </c>
      <c r="S28" s="138" t="str">
        <f>IF(請求内容入力シート!$C$30&lt;&gt;"",LEFT(RIGHT("0000000000"&amp;請求内容入力シート!$C$30,1),1),"")</f>
        <v/>
      </c>
      <c r="T28" s="818" t="str">
        <f>IF(請求内容入力シート!$D$30&lt;&gt;"",請求内容入力シート!$D$30,"")</f>
        <v/>
      </c>
      <c r="U28" s="819"/>
      <c r="V28" s="819"/>
      <c r="W28" s="819"/>
      <c r="X28" s="819"/>
      <c r="Y28" s="819"/>
      <c r="Z28" s="819"/>
      <c r="AA28" s="819"/>
      <c r="AB28" s="819"/>
      <c r="AC28" s="819"/>
      <c r="AD28" s="819"/>
      <c r="AE28" s="819"/>
      <c r="AF28" s="819"/>
      <c r="AG28" s="819"/>
      <c r="AH28" s="819"/>
      <c r="AI28" s="170"/>
      <c r="AJ28" s="171"/>
      <c r="AK28" s="170"/>
      <c r="AL28" s="172"/>
      <c r="AM28" s="171"/>
      <c r="AN28" s="170"/>
      <c r="AO28" s="172"/>
      <c r="AP28" s="171"/>
    </row>
    <row r="29" spans="1:42" s="1" customFormat="1" ht="24.95" customHeight="1">
      <c r="B29" s="801"/>
      <c r="C29" s="805" t="str">
        <f>IF(I28&lt;&gt;"",パラメータ!$B$8&amp;"23","")</f>
        <v/>
      </c>
      <c r="D29" s="805"/>
      <c r="E29" s="805"/>
      <c r="F29" s="805"/>
      <c r="G29" s="805"/>
      <c r="H29" s="805"/>
      <c r="I29" s="806" t="s">
        <v>135</v>
      </c>
      <c r="J29" s="807"/>
      <c r="K29" s="807"/>
      <c r="L29" s="807"/>
      <c r="M29" s="807"/>
      <c r="N29" s="807"/>
      <c r="O29" s="807" t="s">
        <v>136</v>
      </c>
      <c r="P29" s="807"/>
      <c r="Q29" s="807"/>
      <c r="R29" s="807"/>
      <c r="S29" s="808"/>
      <c r="T29" s="820" t="str">
        <f>IF(請求内容入力シート!$E$30&lt;&gt;"",請求内容入力シート!$E$30,"")</f>
        <v/>
      </c>
      <c r="U29" s="821"/>
      <c r="V29" s="821"/>
      <c r="W29" s="821"/>
      <c r="X29" s="821"/>
      <c r="Y29" s="821"/>
      <c r="Z29" s="821"/>
      <c r="AA29" s="821"/>
      <c r="AB29" s="821"/>
      <c r="AC29" s="821"/>
      <c r="AD29" s="821"/>
      <c r="AE29" s="821"/>
      <c r="AF29" s="821"/>
      <c r="AG29" s="821"/>
      <c r="AH29" s="821"/>
      <c r="AI29" s="173" t="str">
        <f>IF(請求内容入力シート!$F$30&lt;&gt;"",LEFT(RIGHT("        "&amp;請求内容入力シート!$F$30,8),1),"")</f>
        <v/>
      </c>
      <c r="AJ29" s="174" t="str">
        <f>IF(請求内容入力シート!$F$30&lt;&gt;"",LEFT(RIGHT("        "&amp;請求内容入力シート!$F$30,7),1),"")</f>
        <v/>
      </c>
      <c r="AK29" s="173" t="str">
        <f>IF(請求内容入力シート!$F$30&lt;&gt;"",LEFT(RIGHT("        "&amp;請求内容入力シート!$F$30,6),1),"")</f>
        <v/>
      </c>
      <c r="AL29" s="175" t="str">
        <f>IF(請求内容入力シート!$F$30&lt;&gt;"",LEFT(RIGHT("        "&amp;請求内容入力シート!$F$30,5),1),"")</f>
        <v/>
      </c>
      <c r="AM29" s="174" t="str">
        <f>IF(請求内容入力シート!$F$30&lt;&gt;"",LEFT(RIGHT("        "&amp;請求内容入力シート!$F$30,4),1),"")</f>
        <v/>
      </c>
      <c r="AN29" s="173" t="str">
        <f>IF(請求内容入力シート!$F$30&lt;&gt;"",LEFT(RIGHT("        "&amp;請求内容入力シート!$F$30,3),1),"")</f>
        <v/>
      </c>
      <c r="AO29" s="175" t="str">
        <f>IF(請求内容入力シート!$F$30&lt;&gt;"",LEFT(RIGHT("        "&amp;請求内容入力シート!$F$30,2),1),"")</f>
        <v/>
      </c>
      <c r="AP29" s="174" t="str">
        <f>IF(請求内容入力シート!$F$30&lt;&gt;"",LEFT(RIGHT("        "&amp;請求内容入力シート!$F$30,1),1),"")</f>
        <v/>
      </c>
    </row>
    <row r="30" spans="1:42" s="1" customFormat="1" ht="22.5" customHeight="1" thickBot="1">
      <c r="B30" s="5"/>
      <c r="C30" s="5"/>
      <c r="D30" s="5"/>
      <c r="E30" s="5"/>
      <c r="F30" s="810" t="s">
        <v>22</v>
      </c>
      <c r="G30" s="810"/>
      <c r="H30" s="810"/>
      <c r="AD30" s="722" t="s">
        <v>5</v>
      </c>
      <c r="AE30" s="686"/>
      <c r="AF30" s="686"/>
      <c r="AG30" s="686"/>
      <c r="AH30" s="686"/>
      <c r="AI30" s="170" t="str">
        <f>IF(請求内容入力シート!$G$30&lt;&gt;"",LEFT(RIGHT("        "&amp;請求内容入力シート!$G$30,8),1),"")</f>
        <v/>
      </c>
      <c r="AJ30" s="171" t="str">
        <f>IF(請求内容入力シート!$G$30&lt;&gt;"",LEFT(RIGHT("        "&amp;請求内容入力シート!$G$30,7),1),"")</f>
        <v/>
      </c>
      <c r="AK30" s="170" t="str">
        <f>IF(請求内容入力シート!$G$30&lt;&gt;"",LEFT(RIGHT("        "&amp;請求内容入力シート!$G$30,6),1),"")</f>
        <v/>
      </c>
      <c r="AL30" s="172" t="str">
        <f>IF(請求内容入力シート!$G$30&lt;&gt;"",LEFT(RIGHT("        "&amp;請求内容入力シート!$G$30,5),1),"")</f>
        <v/>
      </c>
      <c r="AM30" s="171" t="str">
        <f>IF(請求内容入力シート!$G$30&lt;&gt;"",LEFT(RIGHT("        "&amp;請求内容入力シート!$G$30,4),1),"")</f>
        <v/>
      </c>
      <c r="AN30" s="170" t="str">
        <f>IF(請求内容入力シート!$G$30&lt;&gt;"",LEFT(RIGHT("        "&amp;請求内容入力シート!$G$30,3),1),"")</f>
        <v/>
      </c>
      <c r="AO30" s="172" t="str">
        <f>IF(請求内容入力シート!$G$30&lt;&gt;"",LEFT(RIGHT("        "&amp;請求内容入力シート!$G$30,2),1),"")</f>
        <v/>
      </c>
      <c r="AP30" s="171" t="str">
        <f>IF(請求内容入力シート!$G$30&lt;&gt;"",LEFT(RIGHT("        "&amp;請求内容入力シート!$G$30,1),1),"")</f>
        <v/>
      </c>
    </row>
    <row r="31" spans="1:42" s="1" customFormat="1" ht="24.95" customHeight="1" thickBot="1">
      <c r="A31" s="1" t="s">
        <v>3</v>
      </c>
      <c r="B31" s="811" t="s">
        <v>21</v>
      </c>
      <c r="C31" s="812"/>
      <c r="D31" s="812"/>
      <c r="E31" s="812"/>
      <c r="F31" s="180" t="str">
        <f>IF(請求内容入力シート!$C$30&lt;&gt;"",LEFT(RIGHT("00000000"&amp;請求内容入力シート!$O$13,8),1),"")</f>
        <v/>
      </c>
      <c r="G31" s="182" t="str">
        <f>IF(請求内容入力シート!$C$30&lt;&gt;"",LEFT(RIGHT("00000000"&amp;請求内容入力シート!$O$13,7),1),"")</f>
        <v/>
      </c>
      <c r="H31" s="182" t="str">
        <f>IF(請求内容入力シート!$C$30&lt;&gt;"",LEFT(RIGHT("00000000"&amp;請求内容入力シート!$O$13,6),1),"")</f>
        <v/>
      </c>
      <c r="I31" s="181" t="str">
        <f>IF(請求内容入力シート!$C$30&lt;&gt;"",LEFT(RIGHT("00000000"&amp;請求内容入力シート!$O$13,5),1),"")</f>
        <v/>
      </c>
      <c r="J31" s="6" t="s">
        <v>23</v>
      </c>
      <c r="K31" s="181" t="str">
        <f>IF(請求内容入力シート!$C$30&lt;&gt;"",LEFT(RIGHT("00000000"&amp;請求内容入力シート!$O$13,4),1),"")</f>
        <v/>
      </c>
      <c r="L31" s="183" t="str">
        <f>IF(請求内容入力シート!$C$30&lt;&gt;"",LEFT(RIGHT("00000000"&amp;請求内容入力シート!$O$13,3),1),"")</f>
        <v/>
      </c>
      <c r="M31" s="6" t="s">
        <v>24</v>
      </c>
      <c r="N31" s="181" t="str">
        <f>IF(請求内容入力シート!$C$30&lt;&gt;"",LEFT(RIGHT("00000000"&amp;請求内容入力シート!$O$13,2),1),"")</f>
        <v/>
      </c>
      <c r="O31" s="183" t="str">
        <f>IF(請求内容入力シート!$C$30&lt;&gt;"",LEFT(RIGHT("00000000"&amp;請求内容入力シート!$O$13,1),1),"")</f>
        <v/>
      </c>
      <c r="P31" s="6" t="s">
        <v>25</v>
      </c>
      <c r="Q31" s="6" t="s">
        <v>29</v>
      </c>
      <c r="R31" s="180" t="str">
        <f>IF(請求内容入力シート!$C$30&lt;&gt;"",LEFT(RIGHT("00000000"&amp;請求内容入力シート!$Q$13,8),1),"")</f>
        <v/>
      </c>
      <c r="S31" s="182" t="str">
        <f>IF(請求内容入力シート!$C$30&lt;&gt;"",LEFT(RIGHT("00000000"&amp;請求内容入力シート!$Q$13,7),1),"")</f>
        <v/>
      </c>
      <c r="T31" s="182" t="str">
        <f>IF(請求内容入力シート!$C$30&lt;&gt;"",LEFT(RIGHT("00000000"&amp;請求内容入力シート!$Q$13,6),1),"")</f>
        <v/>
      </c>
      <c r="U31" s="181" t="str">
        <f>IF(請求内容入力シート!$C$30&lt;&gt;"",LEFT(RIGHT("00000000"&amp;請求内容入力シート!$Q$13,5),1),"")</f>
        <v/>
      </c>
      <c r="V31" s="6" t="s">
        <v>23</v>
      </c>
      <c r="W31" s="181" t="str">
        <f>IF(請求内容入力シート!$C$30&lt;&gt;"",LEFT(RIGHT("00000000"&amp;請求内容入力シート!$Q$13,4),1),"")</f>
        <v/>
      </c>
      <c r="X31" s="183" t="str">
        <f>IF(請求内容入力シート!$C$30&lt;&gt;"",LEFT(RIGHT("00000000"&amp;請求内容入力シート!$Q$13,3),1),"")</f>
        <v/>
      </c>
      <c r="Y31" s="6" t="s">
        <v>24</v>
      </c>
      <c r="Z31" s="181" t="str">
        <f>IF(請求内容入力シート!$C$30&lt;&gt;"",LEFT(RIGHT("00000000"&amp;請求内容入力シート!$Q$13,2),1),"")</f>
        <v/>
      </c>
      <c r="AA31" s="183" t="str">
        <f>IF(請求内容入力シート!$C$30&lt;&gt;"",LEFT(RIGHT("00000000"&amp;請求内容入力シート!$Q$13,1),1),"")</f>
        <v/>
      </c>
      <c r="AB31" s="6" t="s">
        <v>118</v>
      </c>
      <c r="AC31" s="7"/>
      <c r="AD31" s="813" t="s">
        <v>6</v>
      </c>
      <c r="AE31" s="814"/>
      <c r="AF31" s="814"/>
      <c r="AG31" s="814"/>
      <c r="AH31" s="814"/>
      <c r="AI31" s="176" t="str">
        <f>IF(請求内容入力シート!$H$30&lt;&gt;"",LEFT(RIGHT("        "&amp;請求内容入力シート!$H$30,8),1),"")</f>
        <v xml:space="preserve"> </v>
      </c>
      <c r="AJ31" s="177" t="str">
        <f>IF(請求内容入力シート!$H$30&lt;&gt;"",LEFT(RIGHT("        "&amp;請求内容入力シート!$H$30,7),1),"")</f>
        <v xml:space="preserve"> </v>
      </c>
      <c r="AK31" s="176" t="str">
        <f>IF(請求内容入力シート!$H$30&lt;&gt;"",LEFT(RIGHT("        "&amp;請求内容入力シート!$H$30,6),1),"")</f>
        <v xml:space="preserve"> </v>
      </c>
      <c r="AL31" s="178" t="str">
        <f>IF(請求内容入力シート!$H$30&lt;&gt;"",LEFT(RIGHT("        "&amp;請求内容入力シート!$H$30,5),1),"")</f>
        <v xml:space="preserve"> </v>
      </c>
      <c r="AM31" s="177" t="str">
        <f>IF(請求内容入力シート!$H$30&lt;&gt;"",LEFT(RIGHT("        "&amp;請求内容入力シート!$H$30,4),1),"")</f>
        <v xml:space="preserve"> </v>
      </c>
      <c r="AN31" s="176" t="str">
        <f>IF(請求内容入力シート!$H$30&lt;&gt;"",LEFT(RIGHT("        "&amp;請求内容入力シート!$H$30,3),1),"")</f>
        <v xml:space="preserve"> </v>
      </c>
      <c r="AO31" s="178" t="str">
        <f>IF(請求内容入力シート!$H$30&lt;&gt;"",LEFT(RIGHT("        "&amp;請求内容入力シート!$H$30,2),1),"")</f>
        <v xml:space="preserve"> </v>
      </c>
      <c r="AP31" s="179" t="str">
        <f>IF(請求内容入力シート!$H$30&lt;&gt;"",LEFT(RIGHT("        "&amp;請求内容入力シート!$H$30,1),1),"")</f>
        <v>0</v>
      </c>
    </row>
    <row r="32" spans="1:42" s="1" customFormat="1">
      <c r="AE32" s="3"/>
      <c r="AF32" s="3"/>
      <c r="AG32" s="3"/>
      <c r="AH32" s="3"/>
    </row>
    <row r="33" spans="2:42" s="1" customFormat="1" ht="24.95" customHeight="1"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42" s="1" customFormat="1" ht="5.0999999999999996" customHeight="1"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42" s="1" customFormat="1" ht="20.100000000000001" customHeight="1">
      <c r="B35" s="705"/>
      <c r="C35" s="705"/>
      <c r="D35" s="70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W35" s="815" t="s">
        <v>7</v>
      </c>
      <c r="X35" s="815"/>
      <c r="Y35" s="815"/>
      <c r="Z35" s="815"/>
      <c r="AA35" s="815"/>
    </row>
    <row r="36" spans="2:42" s="1" customFormat="1" ht="24.95" customHeight="1">
      <c r="B36" s="762" t="s">
        <v>12</v>
      </c>
      <c r="C36" s="715"/>
      <c r="D36" s="716"/>
      <c r="E36" s="712" t="str">
        <f>パラメータ!B6</f>
        <v>企業システム開発部 第2開発センター</v>
      </c>
      <c r="F36" s="769"/>
      <c r="G36" s="769"/>
      <c r="H36" s="769"/>
      <c r="I36" s="769"/>
      <c r="J36" s="769"/>
      <c r="K36" s="769"/>
      <c r="L36" s="769"/>
      <c r="M36" s="769"/>
      <c r="N36" s="769"/>
      <c r="O36" s="769"/>
      <c r="P36" s="769"/>
      <c r="Q36" s="769"/>
      <c r="R36" s="817"/>
      <c r="W36" s="9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0"/>
    </row>
    <row r="37" spans="2:42" s="1" customFormat="1" ht="20.100000000000001" customHeight="1">
      <c r="B37" s="765" t="s">
        <v>9</v>
      </c>
      <c r="C37" s="712" t="s">
        <v>13</v>
      </c>
      <c r="D37" s="713"/>
      <c r="E37" s="713"/>
      <c r="F37" s="714"/>
      <c r="G37" s="712" t="s">
        <v>126</v>
      </c>
      <c r="H37" s="769"/>
      <c r="I37" s="769"/>
      <c r="J37" s="770"/>
      <c r="K37" s="712" t="s">
        <v>10</v>
      </c>
      <c r="L37" s="769"/>
      <c r="M37" s="769"/>
      <c r="N37" s="770"/>
      <c r="O37" s="712" t="s">
        <v>11</v>
      </c>
      <c r="P37" s="769"/>
      <c r="Q37" s="769"/>
      <c r="R37" s="770"/>
      <c r="W37" s="11"/>
      <c r="AG37" s="816"/>
      <c r="AH37" s="816"/>
      <c r="AI37" s="816"/>
      <c r="AJ37" s="816"/>
      <c r="AK37" s="816"/>
      <c r="AL37" s="816"/>
      <c r="AP37" s="12"/>
    </row>
    <row r="38" spans="2:42" s="1" customFormat="1">
      <c r="B38" s="766"/>
      <c r="C38" s="11"/>
      <c r="F38" s="12"/>
      <c r="G38" s="11"/>
      <c r="J38" s="12"/>
      <c r="K38" s="11"/>
      <c r="N38" s="12"/>
      <c r="R38" s="12"/>
      <c r="W38" s="11"/>
      <c r="AP38" s="12"/>
    </row>
    <row r="39" spans="2:42" s="1" customFormat="1">
      <c r="B39" s="767"/>
      <c r="C39" s="11"/>
      <c r="F39" s="12"/>
      <c r="G39" s="11"/>
      <c r="J39" s="12"/>
      <c r="K39" s="11"/>
      <c r="N39" s="12"/>
      <c r="R39" s="12"/>
      <c r="W39" s="11"/>
      <c r="AP39" s="12"/>
    </row>
    <row r="40" spans="2:42" s="1" customFormat="1">
      <c r="B40" s="768"/>
      <c r="C40" s="13"/>
      <c r="D40" s="14"/>
      <c r="E40" s="14"/>
      <c r="F40" s="15"/>
      <c r="G40" s="13"/>
      <c r="H40" s="14"/>
      <c r="I40" s="14"/>
      <c r="J40" s="15"/>
      <c r="K40" s="13"/>
      <c r="L40" s="14"/>
      <c r="M40" s="14"/>
      <c r="N40" s="15"/>
      <c r="O40" s="14"/>
      <c r="P40" s="14"/>
      <c r="Q40" s="14"/>
      <c r="R40" s="15"/>
      <c r="W40" s="13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5"/>
    </row>
    <row r="41" spans="2:42" s="1" customFormat="1"/>
  </sheetData>
  <mergeCells count="74">
    <mergeCell ref="AE7:AH8"/>
    <mergeCell ref="AI7:AP8"/>
    <mergeCell ref="B3:AP4"/>
    <mergeCell ref="B5:J5"/>
    <mergeCell ref="AE5:AH5"/>
    <mergeCell ref="AE6:AH6"/>
    <mergeCell ref="AI6:AP6"/>
    <mergeCell ref="B12:B13"/>
    <mergeCell ref="C12:H12"/>
    <mergeCell ref="I12:S12"/>
    <mergeCell ref="T12:AH12"/>
    <mergeCell ref="AI12:AP13"/>
    <mergeCell ref="C13:H13"/>
    <mergeCell ref="I13:S13"/>
    <mergeCell ref="T13:AH13"/>
    <mergeCell ref="B14:B15"/>
    <mergeCell ref="C14:H14"/>
    <mergeCell ref="T14:AH14"/>
    <mergeCell ref="C15:H15"/>
    <mergeCell ref="I15:N15"/>
    <mergeCell ref="O15:S15"/>
    <mergeCell ref="T15:AH15"/>
    <mergeCell ref="F16:H16"/>
    <mergeCell ref="AD16:AH16"/>
    <mergeCell ref="B17:E17"/>
    <mergeCell ref="AD17:AH17"/>
    <mergeCell ref="B19:B20"/>
    <mergeCell ref="C19:H19"/>
    <mergeCell ref="I19:S19"/>
    <mergeCell ref="T19:AH19"/>
    <mergeCell ref="AI19:AP20"/>
    <mergeCell ref="C20:H20"/>
    <mergeCell ref="I20:S20"/>
    <mergeCell ref="T20:AH20"/>
    <mergeCell ref="B21:B22"/>
    <mergeCell ref="C21:H21"/>
    <mergeCell ref="T21:AH21"/>
    <mergeCell ref="C22:H22"/>
    <mergeCell ref="I22:N22"/>
    <mergeCell ref="O22:S22"/>
    <mergeCell ref="T22:AH22"/>
    <mergeCell ref="F23:H23"/>
    <mergeCell ref="AD23:AH23"/>
    <mergeCell ref="B24:E24"/>
    <mergeCell ref="AD24:AH24"/>
    <mergeCell ref="B35:D35"/>
    <mergeCell ref="W35:AA35"/>
    <mergeCell ref="F30:H30"/>
    <mergeCell ref="AD30:AH30"/>
    <mergeCell ref="B31:E31"/>
    <mergeCell ref="AD31:AH31"/>
    <mergeCell ref="AI26:AP27"/>
    <mergeCell ref="C27:H27"/>
    <mergeCell ref="I27:S27"/>
    <mergeCell ref="T27:AH27"/>
    <mergeCell ref="B28:B29"/>
    <mergeCell ref="C28:H28"/>
    <mergeCell ref="T28:AH28"/>
    <mergeCell ref="C29:H29"/>
    <mergeCell ref="I29:N29"/>
    <mergeCell ref="O29:S29"/>
    <mergeCell ref="B26:B27"/>
    <mergeCell ref="C26:H26"/>
    <mergeCell ref="I26:S26"/>
    <mergeCell ref="T26:AH26"/>
    <mergeCell ref="T29:AH29"/>
    <mergeCell ref="AG37:AL37"/>
    <mergeCell ref="B36:D36"/>
    <mergeCell ref="E36:R36"/>
    <mergeCell ref="B37:B40"/>
    <mergeCell ref="C37:F37"/>
    <mergeCell ref="G37:J37"/>
    <mergeCell ref="K37:N37"/>
    <mergeCell ref="O37:R37"/>
  </mergeCells>
  <phoneticPr fontId="2"/>
  <printOptions horizontalCentered="1"/>
  <pageMargins left="0.39370078740157483" right="0.39370078740157483" top="0.39370078740157483" bottom="0.39370078740157483" header="0.39370078740157483" footer="0.39370078740157483"/>
  <pageSetup paperSize="9" scale="97" fitToHeight="0" orientation="portrait" horizontalDpi="258" verticalDpi="258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C8"/>
  <sheetViews>
    <sheetView showGridLines="0" workbookViewId="0">
      <selection activeCell="E22" sqref="E22"/>
    </sheetView>
  </sheetViews>
  <sheetFormatPr defaultColWidth="19.25" defaultRowHeight="18.75"/>
  <cols>
    <col min="1" max="1" width="19.25" style="311"/>
    <col min="2" max="2" width="42.375" style="311" bestFit="1" customWidth="1"/>
    <col min="3" max="16384" width="19.25" style="311"/>
  </cols>
  <sheetData>
    <row r="1" spans="1:3">
      <c r="A1" s="311" t="s">
        <v>140</v>
      </c>
    </row>
    <row r="3" spans="1:3">
      <c r="A3" s="313" t="s">
        <v>139</v>
      </c>
      <c r="B3" s="312" t="s">
        <v>303</v>
      </c>
    </row>
    <row r="4" spans="1:3">
      <c r="A4" s="313" t="s">
        <v>141</v>
      </c>
      <c r="B4" s="312" t="s">
        <v>304</v>
      </c>
      <c r="C4" s="311" t="s">
        <v>250</v>
      </c>
    </row>
    <row r="5" spans="1:3">
      <c r="A5" s="313" t="s">
        <v>142</v>
      </c>
      <c r="B5" s="312" t="s">
        <v>305</v>
      </c>
    </row>
    <row r="6" spans="1:3">
      <c r="A6" s="313" t="s">
        <v>194</v>
      </c>
      <c r="B6" s="312" t="s">
        <v>287</v>
      </c>
    </row>
    <row r="7" spans="1:3">
      <c r="A7" s="313" t="s">
        <v>193</v>
      </c>
      <c r="B7" s="312" t="s">
        <v>249</v>
      </c>
    </row>
    <row r="8" spans="1:3">
      <c r="A8" s="313" t="s">
        <v>198</v>
      </c>
      <c r="B8" s="312" t="s">
        <v>306</v>
      </c>
      <c r="C8" s="311" t="s">
        <v>251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4</vt:i4>
      </vt:variant>
    </vt:vector>
  </HeadingPairs>
  <TitlesOfParts>
    <vt:vector size="15" baseType="lpstr">
      <vt:lpstr>使い方</vt:lpstr>
      <vt:lpstr>派遣管理台帳</vt:lpstr>
      <vt:lpstr>交通費明細</vt:lpstr>
      <vt:lpstr>請求内容入力シート</vt:lpstr>
      <vt:lpstr>SDMINPUT_通常</vt:lpstr>
      <vt:lpstr>SDMINPUT_通常(交通費)</vt:lpstr>
      <vt:lpstr>保守①</vt:lpstr>
      <vt:lpstr>保守②</vt:lpstr>
      <vt:lpstr>保守①(交通費)</vt:lpstr>
      <vt:lpstr>保守②(交通費)</vt:lpstr>
      <vt:lpstr>パラメータ</vt:lpstr>
      <vt:lpstr>SDMINPUT_通常!Print_Area</vt:lpstr>
      <vt:lpstr>'SDMINPUT_通常(交通費)'!Print_Area</vt:lpstr>
      <vt:lpstr>交通費明細!Print_Area</vt:lpstr>
      <vt:lpstr>派遣管理台帳!Print_Area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　元彰</dc:creator>
  <cp:lastModifiedBy>陳百祥/課長</cp:lastModifiedBy>
  <cp:lastPrinted>2026-09-25T05:35:42Z</cp:lastPrinted>
  <dcterms:created xsi:type="dcterms:W3CDTF">2011-08-05T02:17:03Z</dcterms:created>
  <dcterms:modified xsi:type="dcterms:W3CDTF">2026-09-25T05:52:21Z</dcterms:modified>
</cp:coreProperties>
</file>