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http://schemas.openxmlformats.org/spreadsheetml/2006/main" xmlns:r="http://schemas.openxmlformats.org/officeDocument/2006/relationships">
  <workbookPr/>
  <bookViews>
    <workbookView tabRatio="600" firstSheet="0" activeTab="0"/>
  </bookViews>
  <sheets>
    <sheet name="変更履歴" sheetId="1" r:id="rId1"/>
    <sheet name="ホストデバイス制御結合テスト" sheetId="2" r:id="rId2"/>
  </sheet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Meiryo"/>
      <b val="1"/>
      <color rgb="FF000000"/>
      <sz val="13"/>
    </font>
    <font>
      <name val="Meiryo"/>
      <b val="1"/>
      <color rgb="FF595959"/>
      <sz val="10"/>
    </font>
    <font>
      <name val="Meiryo"/>
      <b val="1"/>
      <color rgb="FF000000"/>
      <sz val="11"/>
    </font>
    <font>
      <name val="Meiryo"/>
      <b val="1"/>
      <color rgb="FF000000"/>
      <sz val="9"/>
    </font>
    <font>
      <name val="Meiryo"/>
      <color rgb="FF000000"/>
      <sz val="9"/>
    </font>
    <font>
      <name val="Meiryo"/>
      <b val="1"/>
      <color rgb="FF000000"/>
      <sz val="14"/>
    </font>
    <font>
      <name val="Meiryo"/>
      <b val="1"/>
      <color rgb="FF000000"/>
      <sz val="10"/>
    </font>
  </fonts>
  <fills count="7">
    <fill>
      <patternFill/>
    </fill>
    <fill>
      <patternFill patternType="gray125"/>
    </fill>
    <fill>
      <patternFill patternType="solid">
        <fgColor rgb="FFF2F2F2"/>
      </patternFill>
    </fill>
    <fill>
      <patternFill patternType="solid">
        <fgColor rgb="FFBFBFBF"/>
      </patternFill>
    </fill>
    <fill>
      <patternFill patternType="solid">
        <fgColor rgb="FFD9D9D9"/>
      </patternFill>
    </fill>
    <fill>
      <patternFill patternType="solid">
        <fgColor rgb="FFF7F7F7"/>
      </patternFill>
    </fill>
    <fill>
      <patternFill patternType="solid">
        <fgColor rgb="FFECECEC"/>
      </patternFill>
    </fill>
  </fills>
  <borders count="49">
    <border>
      <left/>
      <right/>
      <top/>
      <bottom/>
      <diagonal/>
    </border>
    <border>
      <left style="thin">
        <color rgb="FFA6A6A6"/>
      </left>
      <right style="thin">
        <color rgb="FFA6A6A6"/>
      </right>
      <top style="thin">
        <color rgb="FFA6A6A6"/>
      </top>
      <bottom style="thin">
        <color rgb="FFA6A6A6"/>
      </bottom>
    </border>
    <border>
      <left/>
      <right/>
      <top style="thin">
        <color rgb="FFA6A6A6"/>
      </top>
      <bottom/>
      <diagonal/>
    </border>
    <border>
      <left/>
      <right style="thin">
        <color rgb="FFA6A6A6"/>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medium">
        <color rgb="FF808080"/>
      </left>
      <right style="thin">
        <color rgb="FFA6A6A6"/>
      </right>
      <top style="medium">
        <color rgb="FF808080"/>
      </top>
      <bottom style="medium">
        <color rgb="FF808080"/>
      </bottom>
    </border>
    <border>
      <left style="thin">
        <color rgb="FFA6A6A6"/>
      </left>
      <right style="thin">
        <color rgb="FFA6A6A6"/>
      </right>
      <top style="medium">
        <color rgb="FF808080"/>
      </top>
      <bottom style="medium">
        <color rgb="FF808080"/>
      </bottom>
    </border>
    <border>
      <left style="thin">
        <color rgb="FFA6A6A6"/>
      </left>
      <right style="medium">
        <color rgb="FF808080"/>
      </right>
      <top style="medium">
        <color rgb="FF808080"/>
      </top>
      <bottom style="medium">
        <color rgb="FF808080"/>
      </bottom>
    </border>
    <border>
      <left style="thin">
        <color rgb="FFA6A6A6"/>
      </left>
      <right style="thin">
        <color rgb="FFA6A6A6"/>
      </right>
      <top style="medium">
        <color rgb="FF808080"/>
      </top>
      <bottom style="thin">
        <color rgb="FFA6A6A6"/>
      </bottom>
    </border>
    <border>
      <left/>
      <right/>
      <top style="medium">
        <color rgb="FF808080"/>
      </top>
      <bottom/>
      <diagonal/>
    </border>
    <border>
      <left/>
      <right style="thin">
        <color rgb="FFA6A6A6"/>
      </right>
      <top style="medium">
        <color rgb="FF808080"/>
      </top>
      <bottom/>
      <diagonal/>
    </border>
    <border>
      <left/>
      <right/>
      <top style="medium">
        <color rgb="FF808080"/>
      </top>
      <bottom style="thin">
        <color rgb="FFA6A6A6"/>
      </bottom>
      <diagonal/>
    </border>
    <border>
      <left/>
      <right style="thin">
        <color rgb="FFA6A6A6"/>
      </right>
      <top style="medium">
        <color rgb="FF808080"/>
      </top>
      <bottom style="thin">
        <color rgb="FFA6A6A6"/>
      </bottom>
      <diagonal/>
    </border>
    <border>
      <left style="medium">
        <color rgb="FF808080"/>
      </left>
      <right style="thin">
        <color rgb="FFA6A6A6"/>
      </right>
      <top style="medium">
        <color rgb="FF808080"/>
      </top>
      <bottom style="thin">
        <color rgb="FFA6A6A6"/>
      </bottom>
    </border>
    <border>
      <left/>
      <right/>
      <top style="medium">
        <color rgb="FF808080"/>
      </top>
      <bottom style="thin">
        <color rgb="FFA6A6A6"/>
      </bottom>
    </border>
    <border>
      <left/>
      <right style="thin">
        <color rgb="FFA6A6A6"/>
      </right>
      <top style="medium">
        <color rgb="FF808080"/>
      </top>
      <bottom style="thin">
        <color rgb="FFA6A6A6"/>
      </bottom>
    </border>
    <border>
      <left/>
      <right style="medium">
        <color rgb="FF808080"/>
      </right>
      <top style="medium">
        <color rgb="FF808080"/>
      </top>
      <bottom style="thin">
        <color rgb="FFA6A6A6"/>
      </bottom>
    </border>
    <border>
      <left style="medium">
        <color rgb="FF808080"/>
      </left>
      <right style="thin">
        <color rgb="FFA6A6A6"/>
      </right>
      <top style="thin">
        <color rgb="FFA6A6A6"/>
      </top>
      <bottom style="thin">
        <color rgb="FFA6A6A6"/>
      </bottom>
    </border>
    <border>
      <left/>
      <right/>
      <top style="thin">
        <color rgb="FFA6A6A6"/>
      </top>
      <bottom style="thin">
        <color rgb="FFA6A6A6"/>
      </bottom>
    </border>
    <border>
      <left/>
      <right style="thin">
        <color rgb="FFA6A6A6"/>
      </right>
      <top style="thin">
        <color rgb="FFA6A6A6"/>
      </top>
      <bottom style="thin">
        <color rgb="FFA6A6A6"/>
      </bottom>
    </border>
    <border>
      <left/>
      <right style="medium">
        <color rgb="FF808080"/>
      </right>
      <top style="thin">
        <color rgb="FFA6A6A6"/>
      </top>
      <bottom style="thin">
        <color rgb="FFA6A6A6"/>
      </bottom>
    </border>
    <border>
      <left style="medium">
        <color rgb="FF808080"/>
      </left>
      <right style="thin">
        <color rgb="FFA6A6A6"/>
      </right>
      <top style="thin">
        <color rgb="FFA6A6A6"/>
      </top>
      <bottom style="medium">
        <color rgb="FF808080"/>
      </bottom>
    </border>
    <border>
      <left/>
      <right/>
      <top style="thin">
        <color rgb="FFA6A6A6"/>
      </top>
      <bottom style="medium">
        <color rgb="FF808080"/>
      </bottom>
    </border>
    <border>
      <left/>
      <right style="thin">
        <color rgb="FFA6A6A6"/>
      </right>
      <top style="thin">
        <color rgb="FFA6A6A6"/>
      </top>
      <bottom style="medium">
        <color rgb="FF808080"/>
      </bottom>
    </border>
    <border>
      <left style="thin">
        <color rgb="FFA6A6A6"/>
      </left>
      <right style="thin">
        <color rgb="FFA6A6A6"/>
      </right>
      <top style="thin">
        <color rgb="FFA6A6A6"/>
      </top>
      <bottom style="medium">
        <color rgb="FF808080"/>
      </bottom>
    </border>
    <border>
      <left/>
      <right style="medium">
        <color rgb="FF808080"/>
      </right>
      <top style="thin">
        <color rgb="FFA6A6A6"/>
      </top>
      <bottom style="medium">
        <color rgb="FF808080"/>
      </bottom>
    </border>
    <border>
      <left style="medium">
        <color rgb="FF808080"/>
      </left>
      <right/>
      <top/>
      <bottom/>
      <diagonal/>
    </border>
    <border>
      <left/>
      <right style="thin">
        <color rgb="FFA6A6A6"/>
      </right>
      <top/>
      <bottom/>
      <diagonal/>
    </border>
    <border>
      <left style="medium">
        <color rgb="FF808080"/>
      </left>
      <right/>
      <top/>
      <bottom style="medium">
        <color rgb="FF808080"/>
      </bottom>
      <diagonal/>
    </border>
    <border>
      <left/>
      <right/>
      <top/>
      <bottom style="medium">
        <color rgb="FF808080"/>
      </bottom>
      <diagonal/>
    </border>
    <border>
      <left/>
      <right style="thin">
        <color rgb="FFA6A6A6"/>
      </right>
      <top/>
      <bottom style="medium">
        <color rgb="FF808080"/>
      </bottom>
      <diagonal/>
    </border>
    <border>
      <left/>
      <right/>
      <top style="thin">
        <color rgb="FFA6A6A6"/>
      </top>
      <bottom style="medium">
        <color rgb="FF808080"/>
      </bottom>
      <diagonal/>
    </border>
    <border>
      <left/>
      <right style="thin">
        <color rgb="FFA6A6A6"/>
      </right>
      <top style="thin">
        <color rgb="FFA6A6A6"/>
      </top>
      <bottom style="medium">
        <color rgb="FF808080"/>
      </bottom>
      <diagonal/>
    </border>
    <border>
      <left style="thin">
        <color rgb="FFA6A6A6"/>
      </left>
      <right style="medium">
        <color rgb="FF808080"/>
      </right>
      <top style="medium">
        <color rgb="FF808080"/>
      </top>
      <bottom style="thin">
        <color rgb="FFA6A6A6"/>
      </bottom>
    </border>
    <border>
      <left/>
      <right style="medium">
        <color rgb="FF808080"/>
      </right>
      <top style="medium">
        <color rgb="FF808080"/>
      </top>
      <bottom/>
      <diagonal/>
    </border>
    <border>
      <left/>
      <right style="medium">
        <color rgb="FF808080"/>
      </right>
      <top style="medium">
        <color rgb="FF808080"/>
      </top>
      <bottom style="thin">
        <color rgb="FFA6A6A6"/>
      </bottom>
      <diagonal/>
    </border>
    <border>
      <left style="thin">
        <color rgb="FFA6A6A6"/>
      </left>
      <right style="medium">
        <color rgb="FF808080"/>
      </right>
      <top style="thin">
        <color rgb="FFA6A6A6"/>
      </top>
      <bottom style="thin">
        <color rgb="FFA6A6A6"/>
      </bottom>
    </border>
    <border>
      <left/>
      <right style="medium">
        <color rgb="FF808080"/>
      </right>
      <top style="thin">
        <color rgb="FFA6A6A6"/>
      </top>
      <bottom/>
      <diagonal/>
    </border>
    <border>
      <left/>
      <right style="medium">
        <color rgb="FF808080"/>
      </right>
      <top style="thin">
        <color rgb="FFA6A6A6"/>
      </top>
      <bottom style="thin">
        <color rgb="FFA6A6A6"/>
      </bottom>
      <diagonal/>
    </border>
    <border>
      <left style="thin">
        <color rgb="FFA6A6A6"/>
      </left>
      <right style="medium">
        <color rgb="FF808080"/>
      </right>
      <top style="thin">
        <color rgb="FFA6A6A6"/>
      </top>
      <bottom style="medium">
        <color rgb="FF808080"/>
      </bottom>
    </border>
    <border>
      <left/>
      <right style="medium">
        <color rgb="FF808080"/>
      </right>
      <top style="thin">
        <color rgb="FFA6A6A6"/>
      </top>
      <bottom style="medium">
        <color rgb="FF808080"/>
      </bottom>
      <diagonal/>
    </border>
    <border>
      <left style="medium">
        <color rgb="FF808080"/>
      </left>
      <right/>
      <top/>
      <bottom style="thin">
        <color rgb="FFA6A6A6"/>
      </bottom>
      <diagonal/>
    </border>
    <border>
      <left/>
      <right style="thin">
        <color rgb="FFA6A6A6"/>
      </right>
      <top/>
      <bottom style="thin">
        <color rgb="FFA6A6A6"/>
      </bottom>
      <diagonal/>
    </border>
    <border>
      <left style="thin">
        <color rgb="FFA6A6A6"/>
      </left>
      <right/>
      <top/>
      <bottom/>
      <diagonal/>
    </border>
    <border>
      <left style="thin">
        <color rgb="FFA6A6A6"/>
      </left>
      <right/>
      <top/>
      <bottom style="thin">
        <color rgb="FFA6A6A6"/>
      </bottom>
      <diagonal/>
    </border>
    <border>
      <left/>
      <right/>
      <top/>
      <bottom style="thin">
        <color rgb="FFA6A6A6"/>
      </bottom>
      <diagonal/>
    </border>
    <border>
      <left/>
      <right style="medium">
        <color rgb="FF808080"/>
      </right>
      <top/>
      <bottom/>
      <diagonal/>
    </border>
    <border>
      <left/>
      <right style="medium">
        <color rgb="FF808080"/>
      </right>
      <top/>
      <bottom style="thin">
        <color rgb="FFA6A6A6"/>
      </bottom>
      <diagonal/>
    </border>
  </borders>
  <cellStyleXfs count="1">
    <xf numFmtId="0" fontId="0" fillId="0" borderId="0"/>
  </cellStyleXfs>
  <cellXfs count="73">
    <xf numFmtId="0" fontId="0" fillId="0" borderId="0" pivotButton="0" quotePrefix="0" xfId="0"/>
    <xf numFmtId="0" fontId="1" fillId="2" borderId="6" applyAlignment="1" pivotButton="0" quotePrefix="0" xfId="0">
      <alignment horizontal="center" vertical="center" wrapText="1"/>
    </xf>
    <xf numFmtId="0" fontId="0" fillId="0" borderId="7" pivotButton="0" quotePrefix="0" xfId="0"/>
    <xf numFmtId="0" fontId="0" fillId="0" borderId="8" pivotButton="0" quotePrefix="0" xfId="0"/>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1" applyAlignment="1" pivotButton="0" quotePrefix="0" xfId="0">
      <alignment horizontal="left" vertical="center" wrapText="1"/>
    </xf>
    <xf numFmtId="0" fontId="4" fillId="4" borderId="14" applyAlignment="1" pivotButton="0" quotePrefix="0" xfId="0">
      <alignment horizontal="center" vertical="center" wrapText="1"/>
    </xf>
    <xf numFmtId="0" fontId="0" fillId="0" borderId="15" pivotButton="0" quotePrefix="0" xfId="0"/>
    <xf numFmtId="0" fontId="0" fillId="0" borderId="16" pivotButton="0" quotePrefix="0" xfId="0"/>
    <xf numFmtId="0" fontId="4" fillId="4" borderId="9" applyAlignment="1" pivotButton="0" quotePrefix="0" xfId="0">
      <alignment horizontal="center" vertical="center" wrapText="1"/>
    </xf>
    <xf numFmtId="0" fontId="0" fillId="0" borderId="17" pivotButton="0" quotePrefix="0" xfId="0"/>
    <xf numFmtId="0" fontId="5" fillId="0" borderId="18" applyAlignment="1" pivotButton="0" quotePrefix="0" xfId="0">
      <alignment horizontal="left" vertical="center" wrapText="1"/>
    </xf>
    <xf numFmtId="0" fontId="0" fillId="0" borderId="19" pivotButton="0" quotePrefix="0" xfId="0"/>
    <xf numFmtId="0" fontId="0" fillId="0" borderId="20" pivotButton="0" quotePrefix="0" xfId="0"/>
    <xf numFmtId="0" fontId="5" fillId="0" borderId="1" applyAlignment="1" pivotButton="0" quotePrefix="0" xfId="0">
      <alignment horizontal="left" vertical="center" wrapText="1"/>
    </xf>
    <xf numFmtId="0" fontId="0" fillId="0" borderId="21" pivotButton="0" quotePrefix="0" xfId="0"/>
    <xf numFmtId="0" fontId="5" fillId="5" borderId="18" applyAlignment="1" pivotButton="0" quotePrefix="0" xfId="0">
      <alignment horizontal="left" vertical="center" wrapText="1"/>
    </xf>
    <xf numFmtId="0" fontId="5" fillId="5" borderId="1" applyAlignment="1" pivotButton="0" quotePrefix="0" xfId="0">
      <alignment horizontal="left" vertical="center" wrapText="1"/>
    </xf>
    <xf numFmtId="0" fontId="5" fillId="5" borderId="22" applyAlignment="1" pivotButton="0" quotePrefix="0" xfId="0">
      <alignment horizontal="left" vertical="center" wrapText="1"/>
    </xf>
    <xf numFmtId="0" fontId="0" fillId="0" borderId="23" pivotButton="0" quotePrefix="0" xfId="0"/>
    <xf numFmtId="0" fontId="0" fillId="0" borderId="24" pivotButton="0" quotePrefix="0" xfId="0"/>
    <xf numFmtId="0" fontId="5" fillId="5" borderId="25" applyAlignment="1" pivotButton="0" quotePrefix="0" xfId="0">
      <alignment horizontal="left" vertical="center" wrapText="1"/>
    </xf>
    <xf numFmtId="0" fontId="0" fillId="0" borderId="26" pivotButton="0" quotePrefix="0" xfId="0"/>
    <xf numFmtId="0" fontId="5" fillId="0" borderId="22" applyAlignment="1" pivotButton="0" quotePrefix="0" xfId="0">
      <alignment horizontal="left" vertical="center" wrapText="1"/>
    </xf>
    <xf numFmtId="0" fontId="5" fillId="0" borderId="25" applyAlignment="1" pivotButton="0" quotePrefix="0" xfId="0">
      <alignment horizontal="left" vertical="center" wrapText="1"/>
    </xf>
    <xf numFmtId="0" fontId="6" fillId="2" borderId="6" applyAlignment="1" pivotButton="0" quotePrefix="0" xfId="0">
      <alignment horizontal="center" vertical="center" wrapText="1"/>
    </xf>
    <xf numFmtId="0" fontId="0" fillId="0" borderId="10" pivotButton="0" quotePrefix="0" xfId="0"/>
    <xf numFmtId="0" fontId="0" fillId="0" borderId="11" pivotButton="0" quotePrefix="0" xfId="0"/>
    <xf numFmtId="0" fontId="7" fillId="6" borderId="9" applyAlignment="1" pivotButton="0" quotePrefix="0" xfId="0">
      <alignment horizontal="left" vertical="center" wrapText="1"/>
    </xf>
    <xf numFmtId="0" fontId="0" fillId="0" borderId="12" pivotButton="0" quotePrefix="0" xfId="0"/>
    <xf numFmtId="0" fontId="0" fillId="0" borderId="13" pivotButton="0" quotePrefix="0" xfId="0"/>
    <xf numFmtId="0" fontId="5" fillId="0" borderId="9" applyAlignment="1" pivotButton="0" quotePrefix="0" xfId="0">
      <alignment horizontal="left" vertical="center" wrapText="1"/>
    </xf>
    <xf numFmtId="0" fontId="7" fillId="3" borderId="9" applyAlignment="1" pivotButton="0" quotePrefix="0" xfId="0">
      <alignment horizontal="center" vertical="center" wrapText="1"/>
    </xf>
    <xf numFmtId="0" fontId="7" fillId="3" borderId="34" applyAlignment="1" pivotButton="0" quotePrefix="0" xfId="0">
      <alignment horizontal="center" vertical="center" wrapText="1"/>
    </xf>
    <xf numFmtId="0" fontId="0" fillId="0" borderId="36" pivotButton="0" quotePrefix="0" xfId="0"/>
    <xf numFmtId="0" fontId="0" fillId="0" borderId="27" pivotButton="0" quotePrefix="0" xfId="0"/>
    <xf numFmtId="0" fontId="0" fillId="0" borderId="28" pivotButton="0" quotePrefix="0" xfId="0"/>
    <xf numFmtId="0" fontId="7" fillId="6"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37" applyAlignment="1" pivotButton="0" quotePrefix="0" xfId="0">
      <alignment horizontal="center" vertical="center" wrapText="1"/>
    </xf>
    <xf numFmtId="0" fontId="0" fillId="0" borderId="39" pivotButton="0" quotePrefix="0" xfId="0"/>
    <xf numFmtId="0" fontId="0" fillId="0" borderId="29" pivotButton="0" quotePrefix="0" xfId="0"/>
    <xf numFmtId="0" fontId="0" fillId="0" borderId="30" pivotButton="0" quotePrefix="0" xfId="0"/>
    <xf numFmtId="0" fontId="0" fillId="0" borderId="31" pivotButton="0" quotePrefix="0" xfId="0"/>
    <xf numFmtId="0" fontId="7" fillId="6" borderId="25" applyAlignment="1" pivotButton="0" quotePrefix="0" xfId="0">
      <alignment horizontal="left" vertical="center" wrapText="1"/>
    </xf>
    <xf numFmtId="0" fontId="0" fillId="0" borderId="32" pivotButton="0" quotePrefix="0" xfId="0"/>
    <xf numFmtId="0" fontId="0" fillId="0" borderId="33" pivotButton="0" quotePrefix="0" xfId="0"/>
    <xf numFmtId="0" fontId="5" fillId="0" borderId="25" applyAlignment="1" pivotButton="0" quotePrefix="0" xfId="0">
      <alignment horizontal="center" vertical="center" wrapText="1"/>
    </xf>
    <xf numFmtId="0" fontId="5" fillId="0" borderId="40" applyAlignment="1" pivotButton="0" quotePrefix="0" xfId="0">
      <alignment horizontal="center" vertical="center" wrapText="1"/>
    </xf>
    <xf numFmtId="0" fontId="0" fillId="0" borderId="41" pivotButton="0" quotePrefix="0" xfId="0"/>
    <xf numFmtId="0" fontId="7" fillId="4" borderId="14" applyAlignment="1" pivotButton="0" quotePrefix="0" xfId="0">
      <alignment horizontal="center" vertical="center" wrapText="1"/>
    </xf>
    <xf numFmtId="0" fontId="7" fillId="4" borderId="9" applyAlignment="1" pivotButton="0" quotePrefix="0" xfId="0">
      <alignment horizontal="center" vertical="center" wrapText="1"/>
    </xf>
    <xf numFmtId="0" fontId="7" fillId="4" borderId="34" applyAlignment="1" pivotButton="0" quotePrefix="0" xfId="0">
      <alignment horizontal="center" vertical="center" wrapText="1"/>
    </xf>
    <xf numFmtId="0" fontId="0" fillId="0" borderId="35" pivotButton="0" quotePrefix="0" xfId="0"/>
    <xf numFmtId="0" fontId="0" fillId="0" borderId="42" pivotButton="0" quotePrefix="0" xfId="0"/>
    <xf numFmtId="0" fontId="0" fillId="0" borderId="43" pivotButton="0" quotePrefix="0" xfId="0"/>
    <xf numFmtId="0" fontId="0" fillId="0" borderId="45" pivotButton="0" quotePrefix="0" xfId="0"/>
    <xf numFmtId="0" fontId="0" fillId="0" borderId="46" pivotButton="0" quotePrefix="0" xfId="0"/>
    <xf numFmtId="0" fontId="0" fillId="0" borderId="48" pivotButton="0" quotePrefix="0" xfId="0"/>
    <xf numFmtId="0" fontId="5" fillId="0" borderId="18" applyAlignment="1" pivotButton="0" quotePrefix="0" xfId="0">
      <alignment horizontal="center" vertical="center" wrapText="1"/>
    </xf>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xf numFmtId="0" fontId="5" fillId="0" borderId="37" applyAlignment="1" pivotButton="0" quotePrefix="0" xfId="0">
      <alignment horizontal="left" vertical="top" wrapText="1"/>
    </xf>
    <xf numFmtId="0" fontId="5" fillId="5" borderId="18" applyAlignment="1" pivotButton="0" quotePrefix="0" xfId="0">
      <alignment horizontal="center" vertical="center" wrapText="1"/>
    </xf>
    <xf numFmtId="0" fontId="5" fillId="5" borderId="1" applyAlignment="1" pivotButton="0" quotePrefix="0" xfId="0">
      <alignment horizontal="left" vertical="top" wrapText="1"/>
    </xf>
    <xf numFmtId="0" fontId="5" fillId="5" borderId="1" applyAlignment="1" pivotButton="0" quotePrefix="0" xfId="0">
      <alignment horizontal="center" vertical="center" wrapText="1"/>
    </xf>
    <xf numFmtId="0" fontId="5" fillId="5" borderId="37" applyAlignment="1" pivotButton="0" quotePrefix="0" xfId="0">
      <alignment horizontal="left" vertical="top" wrapText="1"/>
    </xf>
    <xf numFmtId="0" fontId="5" fillId="5" borderId="22" applyAlignment="1" pivotButton="0" quotePrefix="0" xfId="0">
      <alignment horizontal="center" vertical="center" wrapText="1"/>
    </xf>
    <xf numFmtId="0" fontId="5" fillId="5" borderId="25" applyAlignment="1" pivotButton="0" quotePrefix="0" xfId="0">
      <alignment horizontal="left" vertical="top" wrapText="1"/>
    </xf>
    <xf numFmtId="0" fontId="5" fillId="5" borderId="25" applyAlignment="1" pivotButton="0" quotePrefix="0" xfId="0">
      <alignment horizontal="center" vertical="center" wrapText="1"/>
    </xf>
    <xf numFmtId="0" fontId="5" fillId="5" borderId="40" applyAlignment="1" pivotButton="0" quotePrefix="0" xfId="0">
      <alignment horizontal="left" vertical="top" wrapText="1"/>
    </xf>
  </cellXfs>
  <cellStyles count="1">
    <cellStyle name="Normal" xfId="0" builtinId="0" hidden="0"/>
  </cellStyles>
  <dxfs count="4">
    <dxf>
      <font>
        <name val="Meiryo"/>
        <color rgb="FF006100"/>
        <sz val="9"/>
      </font>
      <fill>
        <patternFill patternType="solid">
          <fgColor rgb="FFC6EFCE"/>
        </patternFill>
      </fill>
    </dxf>
    <dxf>
      <font>
        <name val="Meiryo"/>
        <color rgb="FF9C0006"/>
        <sz val="9"/>
      </font>
      <fill>
        <patternFill patternType="solid">
          <fgColor rgb="FFFFC7CE"/>
        </patternFill>
      </fill>
    </dxf>
    <dxf>
      <font>
        <name val="Meiryo"/>
        <color rgb="FF9C6500"/>
        <sz val="9"/>
      </font>
      <fill>
        <patternFill patternType="solid">
          <fgColor rgb="FFFFEB9C"/>
        </patternFill>
      </fill>
    </dxf>
    <dxf>
      <font>
        <name val="Meiryo"/>
        <color rgb="FF595959"/>
        <sz val="9"/>
      </font>
      <fill>
        <patternFill patternType="solid">
          <f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U23"/>
  <sheetViews>
    <sheetView showGridLines="0" workbookViewId="0">
      <pane ySplit="2" topLeftCell="A3" activePane="bottomLeft" state="frozen"/>
      <selection pane="bottomLef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s>
  <sheetData>
    <row r="1" ht="28" customHeight="1">
      <c r="A1" s="1" t="inlineStr">
        <is>
          <t>TC-IT-HOST-01 テストケース — タブレットPOS ホストデバイス制御 デバイス戦略・OPOS連携 結合テスト</t>
        </is>
      </c>
      <c r="B1" s="2" t="n"/>
      <c r="C1" s="2" t="n"/>
      <c r="D1" s="2" t="n"/>
      <c r="E1" s="2" t="n"/>
      <c r="F1" s="2" t="n"/>
      <c r="G1" s="2" t="n"/>
      <c r="H1" s="2" t="n"/>
      <c r="I1" s="2" t="n"/>
      <c r="J1" s="2" t="n"/>
      <c r="K1" s="2" t="n"/>
      <c r="L1" s="2" t="n"/>
      <c r="M1" s="2" t="n"/>
      <c r="N1" s="2" t="n"/>
      <c r="O1" s="2" t="n"/>
      <c r="P1" s="2" t="n"/>
      <c r="Q1" s="2" t="n"/>
      <c r="R1" s="2" t="n"/>
      <c r="S1" s="2" t="n"/>
      <c r="T1" s="2" t="n"/>
      <c r="U1" s="3" t="n"/>
    </row>
    <row r="2">
      <c r="A2" s="4" t="inlineStr">
        <is>
          <t>変更履歴</t>
        </is>
      </c>
      <c r="B2" s="5" t="n"/>
      <c r="C2" s="5" t="n"/>
      <c r="D2" s="5" t="n"/>
      <c r="E2" s="5" t="n"/>
      <c r="F2" s="5" t="n"/>
      <c r="G2" s="5" t="n"/>
      <c r="H2" s="5" t="n"/>
      <c r="I2" s="5" t="n"/>
      <c r="J2" s="5" t="n"/>
      <c r="K2" s="5" t="n"/>
      <c r="L2" s="5" t="n"/>
      <c r="M2" s="5" t="n"/>
      <c r="N2" s="5" t="n"/>
      <c r="O2" s="5" t="n"/>
      <c r="P2" s="5" t="n"/>
      <c r="Q2" s="5" t="n"/>
      <c r="R2" s="5" t="n"/>
      <c r="S2" s="5" t="n"/>
      <c r="T2" s="5" t="n"/>
      <c r="U2" s="6" t="n"/>
    </row>
    <row r="4" ht="22" customHeight="1">
      <c r="A4" s="7" t="inlineStr">
        <is>
          <t>基本情報</t>
        </is>
      </c>
      <c r="B4" s="5" t="n"/>
      <c r="C4" s="5" t="n"/>
      <c r="D4" s="5" t="n"/>
      <c r="E4" s="5" t="n"/>
      <c r="F4" s="5" t="n"/>
      <c r="G4" s="5" t="n"/>
      <c r="H4" s="5" t="n"/>
      <c r="I4" s="5" t="n"/>
      <c r="J4" s="5" t="n"/>
      <c r="K4" s="5" t="n"/>
      <c r="L4" s="5" t="n"/>
      <c r="M4" s="5" t="n"/>
      <c r="N4" s="5" t="n"/>
      <c r="O4" s="5" t="n"/>
      <c r="P4" s="5" t="n"/>
      <c r="Q4" s="5" t="n"/>
      <c r="R4" s="5" t="n"/>
      <c r="S4" s="5" t="n"/>
      <c r="T4" s="5" t="n"/>
      <c r="U4" s="6" t="n"/>
    </row>
    <row r="5" ht="20" customHeight="1">
      <c r="A5" s="8" t="inlineStr">
        <is>
          <t>項目</t>
        </is>
      </c>
      <c r="B5" s="9" t="n"/>
      <c r="C5" s="9" t="n"/>
      <c r="D5" s="9" t="n"/>
      <c r="E5" s="9" t="n"/>
      <c r="F5" s="10" t="n"/>
      <c r="G5" s="11" t="inlineStr">
        <is>
          <t>内容</t>
        </is>
      </c>
      <c r="H5" s="9" t="n"/>
      <c r="I5" s="9" t="n"/>
      <c r="J5" s="9" t="n"/>
      <c r="K5" s="9" t="n"/>
      <c r="L5" s="9" t="n"/>
      <c r="M5" s="9" t="n"/>
      <c r="N5" s="9" t="n"/>
      <c r="O5" s="9" t="n"/>
      <c r="P5" s="9" t="n"/>
      <c r="Q5" s="9" t="n"/>
      <c r="R5" s="9" t="n"/>
      <c r="S5" s="9" t="n"/>
      <c r="T5" s="9" t="n"/>
      <c r="U5" s="12" t="n"/>
    </row>
    <row r="6" ht="20" customHeight="1">
      <c r="A6" s="13" t="inlineStr">
        <is>
          <t>文書ID</t>
        </is>
      </c>
      <c r="B6" s="14" t="n"/>
      <c r="C6" s="14" t="n"/>
      <c r="D6" s="14" t="n"/>
      <c r="E6" s="14" t="n"/>
      <c r="F6" s="15" t="n"/>
      <c r="G6" s="16" t="inlineStr">
        <is>
          <t>TC-IT-HOST-01</t>
        </is>
      </c>
      <c r="H6" s="14" t="n"/>
      <c r="I6" s="14" t="n"/>
      <c r="J6" s="14" t="n"/>
      <c r="K6" s="14" t="n"/>
      <c r="L6" s="14" t="n"/>
      <c r="M6" s="14" t="n"/>
      <c r="N6" s="14" t="n"/>
      <c r="O6" s="14" t="n"/>
      <c r="P6" s="14" t="n"/>
      <c r="Q6" s="14" t="n"/>
      <c r="R6" s="14" t="n"/>
      <c r="S6" s="14" t="n"/>
      <c r="T6" s="14" t="n"/>
      <c r="U6" s="17" t="n"/>
    </row>
    <row r="7" ht="20" customHeight="1">
      <c r="A7" s="18" t="inlineStr">
        <is>
          <t>プロジェクト名</t>
        </is>
      </c>
      <c r="B7" s="14" t="n"/>
      <c r="C7" s="14" t="n"/>
      <c r="D7" s="14" t="n"/>
      <c r="E7" s="14" t="n"/>
      <c r="F7" s="15" t="n"/>
      <c r="G7" s="19" t="inlineStr">
        <is>
          <t>タブレットPOS</t>
        </is>
      </c>
      <c r="H7" s="14" t="n"/>
      <c r="I7" s="14" t="n"/>
      <c r="J7" s="14" t="n"/>
      <c r="K7" s="14" t="n"/>
      <c r="L7" s="14" t="n"/>
      <c r="M7" s="14" t="n"/>
      <c r="N7" s="14" t="n"/>
      <c r="O7" s="14" t="n"/>
      <c r="P7" s="14" t="n"/>
      <c r="Q7" s="14" t="n"/>
      <c r="R7" s="14" t="n"/>
      <c r="S7" s="14" t="n"/>
      <c r="T7" s="14" t="n"/>
      <c r="U7" s="17" t="n"/>
    </row>
    <row r="8" ht="20" customHeight="1">
      <c r="A8" s="13" t="inlineStr">
        <is>
          <t>モジュール名</t>
        </is>
      </c>
      <c r="B8" s="14" t="n"/>
      <c r="C8" s="14" t="n"/>
      <c r="D8" s="14" t="n"/>
      <c r="E8" s="14" t="n"/>
      <c r="F8" s="15" t="n"/>
      <c r="G8" s="16" t="inlineStr">
        <is>
          <t>ホストデバイス制御（デバイス戦略・OPOS連携）</t>
        </is>
      </c>
      <c r="H8" s="14" t="n"/>
      <c r="I8" s="14" t="n"/>
      <c r="J8" s="14" t="n"/>
      <c r="K8" s="14" t="n"/>
      <c r="L8" s="14" t="n"/>
      <c r="M8" s="14" t="n"/>
      <c r="N8" s="14" t="n"/>
      <c r="O8" s="14" t="n"/>
      <c r="P8" s="14" t="n"/>
      <c r="Q8" s="14" t="n"/>
      <c r="R8" s="14" t="n"/>
      <c r="S8" s="14" t="n"/>
      <c r="T8" s="14" t="n"/>
      <c r="U8" s="17" t="n"/>
    </row>
    <row r="9" ht="20" customHeight="1">
      <c r="A9" s="18" t="inlineStr">
        <is>
          <t>テスト段階</t>
        </is>
      </c>
      <c r="B9" s="14" t="n"/>
      <c r="C9" s="14" t="n"/>
      <c r="D9" s="14" t="n"/>
      <c r="E9" s="14" t="n"/>
      <c r="F9" s="15" t="n"/>
      <c r="G9" s="19" t="inlineStr">
        <is>
          <t>結合テスト</t>
        </is>
      </c>
      <c r="H9" s="14" t="n"/>
      <c r="I9" s="14" t="n"/>
      <c r="J9" s="14" t="n"/>
      <c r="K9" s="14" t="n"/>
      <c r="L9" s="14" t="n"/>
      <c r="M9" s="14" t="n"/>
      <c r="N9" s="14" t="n"/>
      <c r="O9" s="14" t="n"/>
      <c r="P9" s="14" t="n"/>
      <c r="Q9" s="14" t="n"/>
      <c r="R9" s="14" t="n"/>
      <c r="S9" s="14" t="n"/>
      <c r="T9" s="14" t="n"/>
      <c r="U9" s="17" t="n"/>
    </row>
    <row r="10" ht="20" customHeight="1">
      <c r="A10" s="13" t="inlineStr">
        <is>
          <t>実施方式</t>
        </is>
      </c>
      <c r="B10" s="14" t="n"/>
      <c r="C10" s="14" t="n"/>
      <c r="D10" s="14" t="n"/>
      <c r="E10" s="14" t="n"/>
      <c r="F10" s="15" t="n"/>
      <c r="G10" s="16" t="inlineStr">
        <is>
          <t>手動（デバイス戦略からホストへ要求し、ホスト応答・ログ・実機動作を確認）</t>
        </is>
      </c>
      <c r="H10" s="14" t="n"/>
      <c r="I10" s="14" t="n"/>
      <c r="J10" s="14" t="n"/>
      <c r="K10" s="14" t="n"/>
      <c r="L10" s="14" t="n"/>
      <c r="M10" s="14" t="n"/>
      <c r="N10" s="14" t="n"/>
      <c r="O10" s="14" t="n"/>
      <c r="P10" s="14" t="n"/>
      <c r="Q10" s="14" t="n"/>
      <c r="R10" s="14" t="n"/>
      <c r="S10" s="14" t="n"/>
      <c r="T10" s="14" t="n"/>
      <c r="U10" s="17" t="n"/>
    </row>
    <row r="11" ht="20" customHeight="1">
      <c r="A11" s="18" t="inlineStr">
        <is>
          <t>作成者</t>
        </is>
      </c>
      <c r="B11" s="14" t="n"/>
      <c r="C11" s="14" t="n"/>
      <c r="D11" s="14" t="n"/>
      <c r="E11" s="14" t="n"/>
      <c r="F11" s="15" t="n"/>
      <c r="G11" s="19" t="inlineStr">
        <is>
          <t>VTI-SAM</t>
        </is>
      </c>
      <c r="H11" s="14" t="n"/>
      <c r="I11" s="14" t="n"/>
      <c r="J11" s="14" t="n"/>
      <c r="K11" s="14" t="n"/>
      <c r="L11" s="14" t="n"/>
      <c r="M11" s="14" t="n"/>
      <c r="N11" s="14" t="n"/>
      <c r="O11" s="14" t="n"/>
      <c r="P11" s="14" t="n"/>
      <c r="Q11" s="14" t="n"/>
      <c r="R11" s="14" t="n"/>
      <c r="S11" s="14" t="n"/>
      <c r="T11" s="14" t="n"/>
      <c r="U11" s="17" t="n"/>
    </row>
    <row r="12" ht="20" customHeight="1">
      <c r="A12" s="13" t="inlineStr">
        <is>
          <t>作成日</t>
        </is>
      </c>
      <c r="B12" s="14" t="n"/>
      <c r="C12" s="14" t="n"/>
      <c r="D12" s="14" t="n"/>
      <c r="E12" s="14" t="n"/>
      <c r="F12" s="15" t="n"/>
      <c r="G12" s="16" t="inlineStr">
        <is>
          <t>2026/06/21</t>
        </is>
      </c>
      <c r="H12" s="14" t="n"/>
      <c r="I12" s="14" t="n"/>
      <c r="J12" s="14" t="n"/>
      <c r="K12" s="14" t="n"/>
      <c r="L12" s="14" t="n"/>
      <c r="M12" s="14" t="n"/>
      <c r="N12" s="14" t="n"/>
      <c r="O12" s="14" t="n"/>
      <c r="P12" s="14" t="n"/>
      <c r="Q12" s="14" t="n"/>
      <c r="R12" s="14" t="n"/>
      <c r="S12" s="14" t="n"/>
      <c r="T12" s="14" t="n"/>
      <c r="U12" s="17" t="n"/>
    </row>
    <row r="13" ht="20" customHeight="1">
      <c r="A13" s="18" t="inlineStr">
        <is>
          <t>環境</t>
        </is>
      </c>
      <c r="B13" s="14" t="n"/>
      <c r="C13" s="14" t="n"/>
      <c r="D13" s="14" t="n"/>
      <c r="E13" s="14" t="n"/>
      <c r="F13" s="15" t="n"/>
      <c r="G13" s="19" t="inlineStr">
        <is>
          <t>ローカル</t>
        </is>
      </c>
      <c r="H13" s="14" t="n"/>
      <c r="I13" s="14" t="n"/>
      <c r="J13" s="14" t="n"/>
      <c r="K13" s="14" t="n"/>
      <c r="L13" s="14" t="n"/>
      <c r="M13" s="14" t="n"/>
      <c r="N13" s="14" t="n"/>
      <c r="O13" s="14" t="n"/>
      <c r="P13" s="14" t="n"/>
      <c r="Q13" s="14" t="n"/>
      <c r="R13" s="14" t="n"/>
      <c r="S13" s="14" t="n"/>
      <c r="T13" s="14" t="n"/>
      <c r="U13" s="17" t="n"/>
    </row>
    <row r="14" ht="20" customHeight="1">
      <c r="A14" s="13" t="inlineStr">
        <is>
          <t>件数</t>
        </is>
      </c>
      <c r="B14" s="14" t="n"/>
      <c r="C14" s="14" t="n"/>
      <c r="D14" s="14" t="n"/>
      <c r="E14" s="14" t="n"/>
      <c r="F14" s="15" t="n"/>
      <c r="G14" s="16" t="inlineStr">
        <is>
          <t>31件</t>
        </is>
      </c>
      <c r="H14" s="14" t="n"/>
      <c r="I14" s="14" t="n"/>
      <c r="J14" s="14" t="n"/>
      <c r="K14" s="14" t="n"/>
      <c r="L14" s="14" t="n"/>
      <c r="M14" s="14" t="n"/>
      <c r="N14" s="14" t="n"/>
      <c r="O14" s="14" t="n"/>
      <c r="P14" s="14" t="n"/>
      <c r="Q14" s="14" t="n"/>
      <c r="R14" s="14" t="n"/>
      <c r="S14" s="14" t="n"/>
      <c r="T14" s="14" t="n"/>
      <c r="U14" s="17" t="n"/>
    </row>
    <row r="15" ht="20" customHeight="1">
      <c r="A15" s="18" t="inlineStr">
        <is>
          <t>対象デバイス</t>
        </is>
      </c>
      <c r="B15" s="14" t="n"/>
      <c r="C15" s="14" t="n"/>
      <c r="D15" s="14" t="n"/>
      <c r="E15" s="14" t="n"/>
      <c r="F15" s="15" t="n"/>
      <c r="G15" s="19" t="inlineStr">
        <is>
          <t>Customer Display / Cash Drawer / Cash Changer</t>
        </is>
      </c>
      <c r="H15" s="14" t="n"/>
      <c r="I15" s="14" t="n"/>
      <c r="J15" s="14" t="n"/>
      <c r="K15" s="14" t="n"/>
      <c r="L15" s="14" t="n"/>
      <c r="M15" s="14" t="n"/>
      <c r="N15" s="14" t="n"/>
      <c r="O15" s="14" t="n"/>
      <c r="P15" s="14" t="n"/>
      <c r="Q15" s="14" t="n"/>
      <c r="R15" s="14" t="n"/>
      <c r="S15" s="14" t="n"/>
      <c r="T15" s="14" t="n"/>
      <c r="U15" s="17" t="n"/>
    </row>
    <row r="16" ht="30" customHeight="1">
      <c r="A16" s="13" t="inlineStr">
        <is>
          <t>確認範囲</t>
        </is>
      </c>
      <c r="B16" s="14" t="n"/>
      <c r="C16" s="14" t="n"/>
      <c r="D16" s="14" t="n"/>
      <c r="E16" s="14" t="n"/>
      <c r="F16" s="15" t="n"/>
      <c r="G16" s="16" t="inlineStr">
        <is>
          <t>デバイス戦略からホストへの要求送信、ホスト側ルーティング、Device/OPOS処理、デバイス戦略への結果返却</t>
        </is>
      </c>
      <c r="H16" s="14" t="n"/>
      <c r="I16" s="14" t="n"/>
      <c r="J16" s="14" t="n"/>
      <c r="K16" s="14" t="n"/>
      <c r="L16" s="14" t="n"/>
      <c r="M16" s="14" t="n"/>
      <c r="N16" s="14" t="n"/>
      <c r="O16" s="14" t="n"/>
      <c r="P16" s="14" t="n"/>
      <c r="Q16" s="14" t="n"/>
      <c r="R16" s="14" t="n"/>
      <c r="S16" s="14" t="n"/>
      <c r="T16" s="14" t="n"/>
      <c r="U16" s="17" t="n"/>
    </row>
    <row r="17" ht="30" customHeight="1">
      <c r="A17" s="20" t="inlineStr">
        <is>
          <t>証跡</t>
        </is>
      </c>
      <c r="B17" s="21" t="n"/>
      <c r="C17" s="21" t="n"/>
      <c r="D17" s="21" t="n"/>
      <c r="E17" s="21" t="n"/>
      <c r="F17" s="22" t="n"/>
      <c r="G17" s="23" t="inlineStr">
        <is>
          <t>レジストリ確認結果、設定確認結果、ホストログ、OPOSログ、実行画面、スクリーンショット、写真または動画</t>
        </is>
      </c>
      <c r="H17" s="21" t="n"/>
      <c r="I17" s="21" t="n"/>
      <c r="J17" s="21" t="n"/>
      <c r="K17" s="21" t="n"/>
      <c r="L17" s="21" t="n"/>
      <c r="M17" s="21" t="n"/>
      <c r="N17" s="21" t="n"/>
      <c r="O17" s="21" t="n"/>
      <c r="P17" s="21" t="n"/>
      <c r="Q17" s="21" t="n"/>
      <c r="R17" s="21" t="n"/>
      <c r="S17" s="21" t="n"/>
      <c r="T17" s="21" t="n"/>
      <c r="U17" s="24" t="n"/>
    </row>
    <row r="19" ht="22" customHeight="1">
      <c r="A19" s="7" t="inlineStr">
        <is>
          <t>更新履歴</t>
        </is>
      </c>
      <c r="B19" s="5" t="n"/>
      <c r="C19" s="5" t="n"/>
      <c r="D19" s="5" t="n"/>
      <c r="E19" s="5" t="n"/>
      <c r="F19" s="5" t="n"/>
      <c r="G19" s="5" t="n"/>
      <c r="H19" s="5" t="n"/>
      <c r="I19" s="5" t="n"/>
      <c r="J19" s="5" t="n"/>
      <c r="K19" s="5" t="n"/>
      <c r="L19" s="5" t="n"/>
      <c r="M19" s="5" t="n"/>
      <c r="N19" s="5" t="n"/>
      <c r="O19" s="5" t="n"/>
      <c r="P19" s="5" t="n"/>
      <c r="Q19" s="5" t="n"/>
      <c r="R19" s="5" t="n"/>
      <c r="S19" s="5" t="n"/>
      <c r="T19" s="5" t="n"/>
      <c r="U19" s="6" t="n"/>
    </row>
    <row r="20" ht="20" customHeight="1">
      <c r="A20" s="8" t="inlineStr">
        <is>
          <t>バージョン</t>
        </is>
      </c>
      <c r="B20" s="9" t="n"/>
      <c r="C20" s="10" t="n"/>
      <c r="D20" s="11" t="inlineStr">
        <is>
          <t>依頼者</t>
        </is>
      </c>
      <c r="E20" s="9" t="n"/>
      <c r="F20" s="10" t="n"/>
      <c r="G20" s="11" t="inlineStr">
        <is>
          <t>更新者</t>
        </is>
      </c>
      <c r="H20" s="9" t="n"/>
      <c r="I20" s="10" t="n"/>
      <c r="J20" s="11" t="inlineStr">
        <is>
          <t>更新日時</t>
        </is>
      </c>
      <c r="K20" s="9" t="n"/>
      <c r="L20" s="10" t="n"/>
      <c r="M20" s="11" t="inlineStr">
        <is>
          <t>変更理由</t>
        </is>
      </c>
      <c r="N20" s="9" t="n"/>
      <c r="O20" s="10" t="n"/>
      <c r="P20" s="11" t="inlineStr">
        <is>
          <t>シート名</t>
        </is>
      </c>
      <c r="Q20" s="9" t="n"/>
      <c r="R20" s="10" t="n"/>
      <c r="S20" s="11" t="inlineStr">
        <is>
          <t>更新内容</t>
        </is>
      </c>
      <c r="T20" s="9" t="n"/>
      <c r="U20" s="12" t="n"/>
    </row>
    <row r="21" ht="60" customHeight="1">
      <c r="A21" s="13" t="inlineStr">
        <is>
          <t>1.0.0</t>
        </is>
      </c>
      <c r="B21" s="14" t="n"/>
      <c r="C21" s="15" t="n"/>
      <c r="D21" s="16" t="inlineStr">
        <is>
          <t>-</t>
        </is>
      </c>
      <c r="E21" s="14" t="n"/>
      <c r="F21" s="15" t="n"/>
      <c r="G21" s="16" t="inlineStr">
        <is>
          <t>VTI-SAM</t>
        </is>
      </c>
      <c r="H21" s="14" t="n"/>
      <c r="I21" s="15" t="n"/>
      <c r="J21" s="16" t="inlineStr">
        <is>
          <t>2026/06/21</t>
        </is>
      </c>
      <c r="K21" s="14" t="n"/>
      <c r="L21" s="15" t="n"/>
      <c r="M21" s="16" t="inlineStr">
        <is>
          <t>新規作成</t>
        </is>
      </c>
      <c r="N21" s="14" t="n"/>
      <c r="O21" s="15" t="n"/>
      <c r="P21" s="16" t="inlineStr">
        <is>
          <t>ホストデバイス制御結合テスト</t>
        </is>
      </c>
      <c r="Q21" s="14" t="n"/>
      <c r="R21" s="15" t="n"/>
      <c r="S21" s="16" t="inlineStr">
        <is>
          <t>OPOSランタイムおよび実機接続確認を結合テストとして分離</t>
        </is>
      </c>
      <c r="T21" s="14" t="n"/>
      <c r="U21" s="17" t="n"/>
    </row>
    <row r="22" ht="45" customHeight="1">
      <c r="A22" s="18" t="inlineStr">
        <is>
          <t>1.1.0</t>
        </is>
      </c>
      <c r="B22" s="14" t="n"/>
      <c r="C22" s="15" t="n"/>
      <c r="D22" s="19" t="inlineStr">
        <is>
          <t>-</t>
        </is>
      </c>
      <c r="E22" s="14" t="n"/>
      <c r="F22" s="15" t="n"/>
      <c r="G22" s="19" t="inlineStr">
        <is>
          <t>VTI-SAM</t>
        </is>
      </c>
      <c r="H22" s="14" t="n"/>
      <c r="I22" s="15" t="n"/>
      <c r="J22" s="19" t="inlineStr">
        <is>
          <t>2026/06/21</t>
        </is>
      </c>
      <c r="K22" s="14" t="n"/>
      <c r="L22" s="15" t="n"/>
      <c r="M22" s="19" t="inlineStr">
        <is>
          <t>テスト追加</t>
        </is>
      </c>
      <c r="N22" s="14" t="n"/>
      <c r="O22" s="15" t="n"/>
      <c r="P22" s="19" t="inlineStr">
        <is>
          <t>ホストデバイス制御結合テスト</t>
        </is>
      </c>
      <c r="Q22" s="14" t="n"/>
      <c r="R22" s="15" t="n"/>
      <c r="S22" s="19" t="inlineStr">
        <is>
          <t>対象デバイス別のサポート済みコマンド確認を追加</t>
        </is>
      </c>
      <c r="T22" s="14" t="n"/>
      <c r="U22" s="17" t="n"/>
    </row>
    <row r="23" ht="60" customHeight="1">
      <c r="A23" s="25" t="inlineStr">
        <is>
          <t>1.2.0</t>
        </is>
      </c>
      <c r="B23" s="21" t="n"/>
      <c r="C23" s="22" t="n"/>
      <c r="D23" s="26" t="inlineStr">
        <is>
          <t>-</t>
        </is>
      </c>
      <c r="E23" s="21" t="n"/>
      <c r="F23" s="22" t="n"/>
      <c r="G23" s="26" t="inlineStr">
        <is>
          <t>VTI-SAM</t>
        </is>
      </c>
      <c r="H23" s="21" t="n"/>
      <c r="I23" s="22" t="n"/>
      <c r="J23" s="26" t="inlineStr">
        <is>
          <t>2026/06/21</t>
        </is>
      </c>
      <c r="K23" s="21" t="n"/>
      <c r="L23" s="22" t="n"/>
      <c r="M23" s="26" t="inlineStr">
        <is>
          <t>記載改善</t>
        </is>
      </c>
      <c r="N23" s="21" t="n"/>
      <c r="O23" s="22" t="n"/>
      <c r="P23" s="26" t="inlineStr">
        <is>
          <t>ホストデバイス制御結合テスト</t>
        </is>
      </c>
      <c r="Q23" s="21" t="n"/>
      <c r="R23" s="22" t="n"/>
      <c r="S23" s="26" t="inlineStr">
        <is>
          <t>デバイス戦略からホスト経由で実機・OPOS処理結果を確認する範囲を明確化</t>
        </is>
      </c>
      <c r="T23" s="21" t="n"/>
      <c r="U23" s="24" t="n"/>
    </row>
  </sheetData>
  <mergeCells count="58">
    <mergeCell ref="A16:F16"/>
    <mergeCell ref="P21:R21"/>
    <mergeCell ref="G7:U7"/>
    <mergeCell ref="S23:U23"/>
    <mergeCell ref="G10:U10"/>
    <mergeCell ref="M22:O22"/>
    <mergeCell ref="G6:U6"/>
    <mergeCell ref="G13:U13"/>
    <mergeCell ref="A12:F12"/>
    <mergeCell ref="A21:C21"/>
    <mergeCell ref="J20:L20"/>
    <mergeCell ref="P23:R23"/>
    <mergeCell ref="M21:O21"/>
    <mergeCell ref="G15:U15"/>
    <mergeCell ref="A2:U2"/>
    <mergeCell ref="A14:F14"/>
    <mergeCell ref="A23:C23"/>
    <mergeCell ref="J22:L22"/>
    <mergeCell ref="A5:F5"/>
    <mergeCell ref="G14:U14"/>
    <mergeCell ref="A8:F8"/>
    <mergeCell ref="A22:C22"/>
    <mergeCell ref="G5:U5"/>
    <mergeCell ref="A17:F17"/>
    <mergeCell ref="G20:I20"/>
    <mergeCell ref="A20:C20"/>
    <mergeCell ref="J21:L21"/>
    <mergeCell ref="S20:U20"/>
    <mergeCell ref="A4:U4"/>
    <mergeCell ref="A10:F10"/>
    <mergeCell ref="M23:O23"/>
    <mergeCell ref="M20:O20"/>
    <mergeCell ref="A13:F13"/>
    <mergeCell ref="G22:I22"/>
    <mergeCell ref="D23:F23"/>
    <mergeCell ref="G16:U16"/>
    <mergeCell ref="A9:F9"/>
    <mergeCell ref="A19:U19"/>
    <mergeCell ref="J23:L23"/>
    <mergeCell ref="S22:U22"/>
    <mergeCell ref="G9:U9"/>
    <mergeCell ref="D20:F20"/>
    <mergeCell ref="G21:I21"/>
    <mergeCell ref="A15:F15"/>
    <mergeCell ref="P20:R20"/>
    <mergeCell ref="G12:U12"/>
    <mergeCell ref="A11:F11"/>
    <mergeCell ref="S21:U21"/>
    <mergeCell ref="G11:U11"/>
    <mergeCell ref="D22:F22"/>
    <mergeCell ref="G23:I23"/>
    <mergeCell ref="P22:R22"/>
    <mergeCell ref="A6:F6"/>
    <mergeCell ref="D21:F21"/>
    <mergeCell ref="A1:U1"/>
    <mergeCell ref="G8:U8"/>
    <mergeCell ref="A7:F7"/>
    <mergeCell ref="G17:U17"/>
  </mergeCells>
  <pageMargins left="0.75" right="0.75" top="1" bottom="1" header="0.5" footer="0.5"/>
  <pageSetup orientation="landscape" fitToHeight="0" fitToWidth="1"/>
  <headerFooter>
    <oddHeader>&amp;L&amp;"Meiryo"&amp;9 文書名：TC-IT-HOST-01 テストケース — タブレットPOS ホストデバイス制御 デバイス戦略・OPOS連携 結合テスト&amp;C&amp;"Meiryo"&amp;9 作成者：VTI-SAM　図番：-&amp;R&amp;"Meiryo"&amp;9 更新日：2026/06/21</oddHeader>
    <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BK200"/>
  <sheetViews>
    <sheetView showGridLines="0" workbookViewId="0">
      <pane xSplit="30" ySplit="6" topLeftCell="AE7" activePane="bottomRight" state="frozen"/>
      <selection pane="topRight"/>
      <selection pane="bottomLeft"/>
      <selection pane="bottomRigh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 width="5.5" customWidth="1" min="33" max="33"/>
    <col width="5.5" customWidth="1" min="34" max="34"/>
    <col width="5.5" customWidth="1" min="35" max="35"/>
    <col width="5.5" customWidth="1" min="36" max="36"/>
    <col width="5.5" customWidth="1" min="37" max="37"/>
    <col width="5.5" customWidth="1" min="38" max="38"/>
    <col width="5.5" customWidth="1" min="39" max="39"/>
    <col width="5.5" customWidth="1" min="40" max="40"/>
    <col width="5.5" customWidth="1" min="41" max="41"/>
    <col width="5.5" customWidth="1" min="42" max="42"/>
    <col width="5.5" customWidth="1" min="43" max="43"/>
    <col width="5.5" customWidth="1" min="44" max="44"/>
    <col width="5.5" customWidth="1" min="45" max="45"/>
    <col width="5.5" customWidth="1" min="46" max="46"/>
    <col width="5.5" customWidth="1" min="47" max="47"/>
    <col width="5.5" customWidth="1" min="48" max="48"/>
    <col width="5.5" customWidth="1" min="49" max="49"/>
    <col width="5.5" customWidth="1" min="50" max="50"/>
    <col width="5.5" customWidth="1" min="51" max="51"/>
    <col width="5.5" customWidth="1" min="52" max="52"/>
    <col width="5.5" customWidth="1" min="53" max="53"/>
    <col width="5.5" customWidth="1" min="54" max="54"/>
    <col width="5.5" customWidth="1" min="55" max="55"/>
    <col width="5.5" customWidth="1" min="56" max="56"/>
    <col width="5.5" customWidth="1" min="57" max="57"/>
    <col width="5.5" customWidth="1" min="58" max="58"/>
    <col width="5.5" customWidth="1" min="59" max="59"/>
    <col width="5.5" customWidth="1" min="60" max="60"/>
    <col width="5.5" customWidth="1" min="61" max="61"/>
    <col width="5.5" customWidth="1" min="62" max="62"/>
    <col width="5.5" customWidth="1" min="63" max="63"/>
  </cols>
  <sheetData>
    <row r="1">
      <c r="A1" s="27" t="inlineStr">
        <is>
          <t>ホストデバイス制御結合テスト</t>
        </is>
      </c>
      <c r="B1" s="28" t="n"/>
      <c r="C1" s="28" t="n"/>
      <c r="D1" s="28" t="n"/>
      <c r="E1" s="28" t="n"/>
      <c r="F1" s="28" t="n"/>
      <c r="G1" s="28" t="n"/>
      <c r="H1" s="28" t="n"/>
      <c r="I1" s="28" t="n"/>
      <c r="J1" s="29" t="n"/>
      <c r="K1" s="30" t="inlineStr">
        <is>
          <t>モジュール：</t>
        </is>
      </c>
      <c r="L1" s="31" t="n"/>
      <c r="M1" s="31" t="n"/>
      <c r="N1" s="31" t="n"/>
      <c r="O1" s="32" t="n"/>
      <c r="P1" s="33" t="inlineStr">
        <is>
          <t>ホストデバイス制御（デバイス戦略・OPOS連携）</t>
        </is>
      </c>
      <c r="Q1" s="31" t="n"/>
      <c r="R1" s="31" t="n"/>
      <c r="S1" s="31" t="n"/>
      <c r="T1" s="32" t="n"/>
      <c r="U1" s="30" t="inlineStr">
        <is>
          <t>作成者：</t>
        </is>
      </c>
      <c r="V1" s="31" t="n"/>
      <c r="W1" s="31" t="n"/>
      <c r="X1" s="31" t="n"/>
      <c r="Y1" s="32" t="n"/>
      <c r="Z1" s="33" t="inlineStr">
        <is>
          <t>VTI-SAM</t>
        </is>
      </c>
      <c r="AA1" s="31" t="n"/>
      <c r="AB1" s="31" t="n"/>
      <c r="AC1" s="31" t="n"/>
      <c r="AD1" s="32" t="n"/>
      <c r="AE1" s="34" t="inlineStr">
        <is>
          <t>Priority</t>
        </is>
      </c>
      <c r="AF1" s="31" t="n"/>
      <c r="AG1" s="31" t="n"/>
      <c r="AH1" s="31" t="n"/>
      <c r="AI1" s="31" t="n"/>
      <c r="AJ1" s="31" t="n"/>
      <c r="AK1" s="31" t="n"/>
      <c r="AL1" s="32" t="n"/>
      <c r="AM1" s="34" t="inlineStr">
        <is>
          <t>第1回（ローカル）</t>
        </is>
      </c>
      <c r="AN1" s="31" t="n"/>
      <c r="AO1" s="31" t="n"/>
      <c r="AP1" s="31" t="n"/>
      <c r="AQ1" s="31" t="n"/>
      <c r="AR1" s="31" t="n"/>
      <c r="AS1" s="31" t="n"/>
      <c r="AT1" s="31" t="n"/>
      <c r="AU1" s="31" t="n"/>
      <c r="AV1" s="31" t="n"/>
      <c r="AW1" s="31" t="n"/>
      <c r="AX1" s="32" t="n"/>
      <c r="AY1" s="35" t="inlineStr">
        <is>
          <t>第2回（ローカル）</t>
        </is>
      </c>
      <c r="AZ1" s="31" t="n"/>
      <c r="BA1" s="31" t="n"/>
      <c r="BB1" s="31" t="n"/>
      <c r="BC1" s="31" t="n"/>
      <c r="BD1" s="31" t="n"/>
      <c r="BE1" s="31" t="n"/>
      <c r="BF1" s="31" t="n"/>
      <c r="BG1" s="31" t="n"/>
      <c r="BH1" s="31" t="n"/>
      <c r="BI1" s="31" t="n"/>
      <c r="BJ1" s="31" t="n"/>
      <c r="BK1" s="36" t="n"/>
    </row>
    <row r="2">
      <c r="A2" s="37" t="n"/>
      <c r="J2" s="38" t="n"/>
      <c r="K2" s="39" t="inlineStr">
        <is>
          <t>プロジェクト名：</t>
        </is>
      </c>
      <c r="L2" s="5" t="n"/>
      <c r="M2" s="5" t="n"/>
      <c r="N2" s="5" t="n"/>
      <c r="O2" s="6" t="n"/>
      <c r="P2" s="16" t="inlineStr">
        <is>
          <t>タブレットPOS</t>
        </is>
      </c>
      <c r="Q2" s="5" t="n"/>
      <c r="R2" s="5" t="n"/>
      <c r="S2" s="5" t="n"/>
      <c r="T2" s="6" t="n"/>
      <c r="U2" s="39" t="inlineStr">
        <is>
          <t>作成日：</t>
        </is>
      </c>
      <c r="V2" s="5" t="n"/>
      <c r="W2" s="5" t="n"/>
      <c r="X2" s="5" t="n"/>
      <c r="Y2" s="6" t="n"/>
      <c r="Z2" s="16" t="inlineStr">
        <is>
          <t>2026/06/21</t>
        </is>
      </c>
      <c r="AA2" s="5" t="n"/>
      <c r="AB2" s="5" t="n"/>
      <c r="AC2" s="5" t="n"/>
      <c r="AD2" s="6" t="n"/>
      <c r="AE2" s="40" t="inlineStr">
        <is>
          <t>Normal</t>
        </is>
      </c>
      <c r="AF2" s="6" t="n"/>
      <c r="AG2" s="40" t="inlineStr">
        <is>
          <t>Abnormal</t>
        </is>
      </c>
      <c r="AH2" s="6" t="n"/>
      <c r="AI2" s="40" t="inlineStr">
        <is>
          <t>Boundary</t>
        </is>
      </c>
      <c r="AJ2" s="6" t="n"/>
      <c r="AK2" s="40" t="inlineStr">
        <is>
          <t>Total</t>
        </is>
      </c>
      <c r="AL2" s="6" t="n"/>
      <c r="AM2" s="40" t="inlineStr">
        <is>
          <t>Pass</t>
        </is>
      </c>
      <c r="AN2" s="6" t="n"/>
      <c r="AO2" s="40" t="inlineStr">
        <is>
          <t>Fail</t>
        </is>
      </c>
      <c r="AP2" s="6" t="n"/>
      <c r="AQ2" s="40" t="inlineStr">
        <is>
          <t>N/A</t>
        </is>
      </c>
      <c r="AR2" s="6" t="n"/>
      <c r="AS2" s="40" t="inlineStr">
        <is>
          <t>Pending</t>
        </is>
      </c>
      <c r="AT2" s="6" t="n"/>
      <c r="AU2" s="40" t="inlineStr">
        <is>
          <t>% coverage</t>
        </is>
      </c>
      <c r="AV2" s="6" t="n"/>
      <c r="AW2" s="40" t="inlineStr">
        <is>
          <t>Pass coverage</t>
        </is>
      </c>
      <c r="AX2" s="6" t="n"/>
      <c r="AY2" s="40" t="inlineStr">
        <is>
          <t>Pass</t>
        </is>
      </c>
      <c r="AZ2" s="6" t="n"/>
      <c r="BA2" s="40" t="inlineStr">
        <is>
          <t>Fail</t>
        </is>
      </c>
      <c r="BB2" s="6" t="n"/>
      <c r="BC2" s="40" t="inlineStr">
        <is>
          <t>N/A</t>
        </is>
      </c>
      <c r="BD2" s="6" t="n"/>
      <c r="BE2" s="40" t="inlineStr">
        <is>
          <t>Pending</t>
        </is>
      </c>
      <c r="BF2" s="6" t="n"/>
      <c r="BG2" s="40" t="inlineStr">
        <is>
          <t>% coverage</t>
        </is>
      </c>
      <c r="BH2" s="6" t="n"/>
      <c r="BI2" s="41" t="inlineStr">
        <is>
          <t>Pass coverage</t>
        </is>
      </c>
      <c r="BJ2" s="5" t="n"/>
      <c r="BK2" s="42" t="n"/>
    </row>
    <row r="3">
      <c r="A3" s="43" t="n"/>
      <c r="B3" s="44" t="n"/>
      <c r="C3" s="44" t="n"/>
      <c r="D3" s="44" t="n"/>
      <c r="E3" s="44" t="n"/>
      <c r="F3" s="44" t="n"/>
      <c r="G3" s="44" t="n"/>
      <c r="H3" s="44" t="n"/>
      <c r="I3" s="44" t="n"/>
      <c r="J3" s="45" t="n"/>
      <c r="K3" s="46" t="inlineStr">
        <is>
          <t>段階：</t>
        </is>
      </c>
      <c r="L3" s="47" t="n"/>
      <c r="M3" s="47" t="n"/>
      <c r="N3" s="47" t="n"/>
      <c r="O3" s="48" t="n"/>
      <c r="P3" s="26" t="inlineStr">
        <is>
          <t>結合テスト</t>
        </is>
      </c>
      <c r="Q3" s="47" t="n"/>
      <c r="R3" s="47" t="n"/>
      <c r="S3" s="47" t="n"/>
      <c r="T3" s="48" t="n"/>
      <c r="U3" s="46" t="inlineStr">
        <is>
          <t>環境：</t>
        </is>
      </c>
      <c r="V3" s="47" t="n"/>
      <c r="W3" s="47" t="n"/>
      <c r="X3" s="47" t="n"/>
      <c r="Y3" s="48" t="n"/>
      <c r="Z3" s="26" t="inlineStr">
        <is>
          <t>ローカル</t>
        </is>
      </c>
      <c r="AA3" s="47" t="n"/>
      <c r="AB3" s="47" t="n"/>
      <c r="AC3" s="47" t="n"/>
      <c r="AD3" s="48" t="n"/>
      <c r="AE3" s="49">
        <f>COUNTIF(AE7:AE200,"N")</f>
        <v/>
      </c>
      <c r="AF3" s="48" t="n"/>
      <c r="AG3" s="49">
        <f>COUNTIF(AE7:AE200,"A")</f>
        <v/>
      </c>
      <c r="AH3" s="48" t="n"/>
      <c r="AI3" s="49">
        <f>COUNTIF(AE7:AE200,"B")</f>
        <v/>
      </c>
      <c r="AJ3" s="48" t="n"/>
      <c r="AK3" s="49">
        <f>AE3+AG3+AI3</f>
        <v/>
      </c>
      <c r="AL3" s="48" t="n"/>
      <c r="AM3" s="49">
        <f>COUNTIF(AI7:AI200,"Pass")</f>
        <v/>
      </c>
      <c r="AN3" s="48" t="n"/>
      <c r="AO3" s="49">
        <f>COUNTIF(AI7:AI200,"Fail")</f>
        <v/>
      </c>
      <c r="AP3" s="48" t="n"/>
      <c r="AQ3" s="49">
        <f>COUNTIF(AI7:AI200,"N/A")</f>
        <v/>
      </c>
      <c r="AR3" s="48" t="n"/>
      <c r="AS3" s="49">
        <f>COUNTIF(AI7:AI200,"Pending")</f>
        <v/>
      </c>
      <c r="AT3" s="48" t="n"/>
      <c r="AU3" s="49">
        <f>IFERROR((AM3+AO3)/(AK3-AQ3),"N/A")</f>
        <v/>
      </c>
      <c r="AV3" s="48" t="n"/>
      <c r="AW3" s="49">
        <f>IFERROR(AM3/AK3,"N/A")</f>
        <v/>
      </c>
      <c r="AX3" s="48" t="n"/>
      <c r="AY3" s="49">
        <f>COUNTIF(AW7:AW200,"Pass")</f>
        <v/>
      </c>
      <c r="AZ3" s="48" t="n"/>
      <c r="BA3" s="49">
        <f>COUNTIF(AW7:AW200,"Fail")</f>
        <v/>
      </c>
      <c r="BB3" s="48" t="n"/>
      <c r="BC3" s="49">
        <f>COUNTIF(AW7:AW200,"N/A")</f>
        <v/>
      </c>
      <c r="BD3" s="48" t="n"/>
      <c r="BE3" s="49">
        <f>COUNTIF(AW7:AW200,"Pending")</f>
        <v/>
      </c>
      <c r="BF3" s="48" t="n"/>
      <c r="BG3" s="49">
        <f>IFERROR((AY3+BA3)/(AK3-BC3),"N/A")</f>
        <v/>
      </c>
      <c r="BH3" s="48" t="n"/>
      <c r="BI3" s="50">
        <f>IFERROR(AY3/AK3,"N/A")</f>
        <v/>
      </c>
      <c r="BJ3" s="47" t="n"/>
      <c r="BK3" s="51" t="n"/>
    </row>
    <row r="5">
      <c r="A5" s="52" t="inlineStr">
        <is>
          <t>ID</t>
        </is>
      </c>
      <c r="B5" s="29" t="n"/>
      <c r="C5" s="53" t="inlineStr">
        <is>
          <t>画面/機能カテゴリ</t>
        </is>
      </c>
      <c r="D5" s="28" t="n"/>
      <c r="E5" s="28" t="n"/>
      <c r="F5" s="29" t="n"/>
      <c r="G5" s="53" t="inlineStr">
        <is>
          <t>大項目</t>
        </is>
      </c>
      <c r="H5" s="28" t="n"/>
      <c r="I5" s="29" t="n"/>
      <c r="J5" s="53" t="inlineStr">
        <is>
          <t>中項目</t>
        </is>
      </c>
      <c r="K5" s="28" t="n"/>
      <c r="L5" s="29" t="n"/>
      <c r="M5" s="53" t="inlineStr">
        <is>
          <t>前提条件</t>
        </is>
      </c>
      <c r="N5" s="28" t="n"/>
      <c r="O5" s="28" t="n"/>
      <c r="P5" s="28" t="n"/>
      <c r="Q5" s="29" t="n"/>
      <c r="R5" s="53" t="inlineStr">
        <is>
          <t>実行手順（テスト手順）</t>
        </is>
      </c>
      <c r="S5" s="28" t="n"/>
      <c r="T5" s="28" t="n"/>
      <c r="U5" s="28" t="n"/>
      <c r="V5" s="28" t="n"/>
      <c r="W5" s="28" t="n"/>
      <c r="X5" s="29" t="n"/>
      <c r="Y5" s="53" t="inlineStr">
        <is>
          <t>期待される結果</t>
        </is>
      </c>
      <c r="Z5" s="28" t="n"/>
      <c r="AA5" s="28" t="n"/>
      <c r="AB5" s="28" t="n"/>
      <c r="AC5" s="28" t="n"/>
      <c r="AD5" s="29" t="n"/>
      <c r="AE5" s="53" t="inlineStr">
        <is>
          <t>種別</t>
        </is>
      </c>
      <c r="AF5" s="29" t="n"/>
      <c r="AG5" s="34" t="inlineStr">
        <is>
          <t>テスト結果 - 第1回</t>
        </is>
      </c>
      <c r="AH5" s="31" t="n"/>
      <c r="AI5" s="31" t="n"/>
      <c r="AJ5" s="31" t="n"/>
      <c r="AK5" s="31" t="n"/>
      <c r="AL5" s="31" t="n"/>
      <c r="AM5" s="31" t="n"/>
      <c r="AN5" s="31" t="n"/>
      <c r="AO5" s="31" t="n"/>
      <c r="AP5" s="31" t="n"/>
      <c r="AQ5" s="31" t="n"/>
      <c r="AR5" s="31" t="n"/>
      <c r="AS5" s="31" t="n"/>
      <c r="AT5" s="32" t="n"/>
      <c r="AU5" s="34" t="inlineStr">
        <is>
          <t>テスト結果 - 第2回</t>
        </is>
      </c>
      <c r="AV5" s="31" t="n"/>
      <c r="AW5" s="31" t="n"/>
      <c r="AX5" s="31" t="n"/>
      <c r="AY5" s="31" t="n"/>
      <c r="AZ5" s="31" t="n"/>
      <c r="BA5" s="31" t="n"/>
      <c r="BB5" s="31" t="n"/>
      <c r="BC5" s="31" t="n"/>
      <c r="BD5" s="31" t="n"/>
      <c r="BE5" s="31" t="n"/>
      <c r="BF5" s="31" t="n"/>
      <c r="BG5" s="31" t="n"/>
      <c r="BH5" s="32" t="n"/>
      <c r="BI5" s="54" t="inlineStr">
        <is>
          <t>備考</t>
        </is>
      </c>
      <c r="BJ5" s="28" t="n"/>
      <c r="BK5" s="55" t="n"/>
    </row>
    <row r="6">
      <c r="A6" s="56" t="n"/>
      <c r="B6" s="57" t="n"/>
      <c r="C6" s="58" t="n"/>
      <c r="D6" s="59" t="n"/>
      <c r="E6" s="59" t="n"/>
      <c r="F6" s="57" t="n"/>
      <c r="G6" s="58" t="n"/>
      <c r="H6" s="59" t="n"/>
      <c r="I6" s="57" t="n"/>
      <c r="J6" s="58" t="n"/>
      <c r="K6" s="59" t="n"/>
      <c r="L6" s="57" t="n"/>
      <c r="M6" s="58" t="n"/>
      <c r="N6" s="59" t="n"/>
      <c r="O6" s="59" t="n"/>
      <c r="P6" s="59" t="n"/>
      <c r="Q6" s="57" t="n"/>
      <c r="R6" s="58" t="n"/>
      <c r="S6" s="59" t="n"/>
      <c r="T6" s="59" t="n"/>
      <c r="U6" s="59" t="n"/>
      <c r="V6" s="59" t="n"/>
      <c r="W6" s="59" t="n"/>
      <c r="X6" s="57" t="n"/>
      <c r="Y6" s="58" t="n"/>
      <c r="Z6" s="59" t="n"/>
      <c r="AA6" s="59" t="n"/>
      <c r="AB6" s="59" t="n"/>
      <c r="AC6" s="59" t="n"/>
      <c r="AD6" s="57" t="n"/>
      <c r="AE6" s="58" t="n"/>
      <c r="AF6" s="57" t="n"/>
      <c r="AG6" s="40" t="inlineStr">
        <is>
          <t>バグID</t>
        </is>
      </c>
      <c r="AH6" s="6" t="n"/>
      <c r="AI6" s="40" t="inlineStr">
        <is>
          <t>結果</t>
        </is>
      </c>
      <c r="AJ6" s="6" t="n"/>
      <c r="AK6" s="40" t="inlineStr">
        <is>
          <t>テスター</t>
        </is>
      </c>
      <c r="AL6" s="6" t="n"/>
      <c r="AM6" s="40" t="inlineStr">
        <is>
          <t>日付</t>
        </is>
      </c>
      <c r="AN6" s="5" t="n"/>
      <c r="AO6" s="6" t="n"/>
      <c r="AP6" s="40" t="inlineStr">
        <is>
          <t>EVD</t>
        </is>
      </c>
      <c r="AQ6" s="6" t="n"/>
      <c r="AR6" s="40" t="inlineStr">
        <is>
          <t>メモ</t>
        </is>
      </c>
      <c r="AS6" s="5" t="n"/>
      <c r="AT6" s="6" t="n"/>
      <c r="AU6" s="40" t="inlineStr">
        <is>
          <t>バグID</t>
        </is>
      </c>
      <c r="AV6" s="6" t="n"/>
      <c r="AW6" s="40" t="inlineStr">
        <is>
          <t>結果</t>
        </is>
      </c>
      <c r="AX6" s="6" t="n"/>
      <c r="AY6" s="40" t="inlineStr">
        <is>
          <t>テスター</t>
        </is>
      </c>
      <c r="AZ6" s="6" t="n"/>
      <c r="BA6" s="40" t="inlineStr">
        <is>
          <t>日付</t>
        </is>
      </c>
      <c r="BB6" s="5" t="n"/>
      <c r="BC6" s="6" t="n"/>
      <c r="BD6" s="40" t="inlineStr">
        <is>
          <t>EVD</t>
        </is>
      </c>
      <c r="BE6" s="6" t="n"/>
      <c r="BF6" s="40" t="inlineStr">
        <is>
          <t>メモ</t>
        </is>
      </c>
      <c r="BG6" s="5" t="n"/>
      <c r="BH6" s="6" t="n"/>
      <c r="BI6" s="58" t="n"/>
      <c r="BJ6" s="59" t="n"/>
      <c r="BK6" s="60" t="n"/>
    </row>
    <row r="7" ht="90" customHeight="1">
      <c r="A7" s="61" t="inlineStr">
        <is>
          <t>IT-HOST-001</t>
        </is>
      </c>
      <c r="B7" s="6" t="n"/>
      <c r="C7" s="62" t="inlineStr">
        <is>
          <t>ホストデバイス制御</t>
        </is>
      </c>
      <c r="D7" s="5" t="n"/>
      <c r="E7" s="5" t="n"/>
      <c r="F7" s="6" t="n"/>
      <c r="G7" s="62" t="inlineStr">
        <is>
          <t>OPOSランタイム</t>
        </is>
      </c>
      <c r="H7" s="5" t="n"/>
      <c r="I7" s="6" t="n"/>
      <c r="J7" s="62" t="inlineStr">
        <is>
          <t>COM Control登録確認</t>
        </is>
      </c>
      <c r="K7" s="5" t="n"/>
      <c r="L7" s="6" t="n"/>
      <c r="M7" s="62" t="inlineStr">
        <is>
          <t>Windows端末に対象OPOS Controlが登録され、必要なランタイムファイルが配置済みである。</t>
        </is>
      </c>
      <c r="N7" s="5" t="n"/>
      <c r="O7" s="5" t="n"/>
      <c r="P7" s="5" t="n"/>
      <c r="Q7" s="6" t="n"/>
      <c r="R7" s="62" t="inlineStr">
        <is>
          <t>1. Cash Changer、Customer Display、Cash Drawer のCLSIDおよびProgIDを確認する。
2. 各COM Controlのインスタンス生成を確認する。
3. レジストリ画面、確認コマンド結果、またはテスト実行結果を証跡として保存する。</t>
        </is>
      </c>
      <c r="S7" s="5" t="n"/>
      <c r="T7" s="5" t="n"/>
      <c r="U7" s="5" t="n"/>
      <c r="V7" s="5" t="n"/>
      <c r="W7" s="5" t="n"/>
      <c r="X7" s="6" t="n"/>
      <c r="Y7" s="62" t="inlineStr">
        <is>
          <t>対象OPOS Controlが登録済みで、各COM Controlのインスタンス生成が成功する。</t>
        </is>
      </c>
      <c r="Z7" s="5" t="n"/>
      <c r="AA7" s="5" t="n"/>
      <c r="AB7" s="5" t="n"/>
      <c r="AC7" s="5" t="n"/>
      <c r="AD7" s="6" t="n"/>
      <c r="AE7" s="63" t="inlineStr">
        <is>
          <t>N</t>
        </is>
      </c>
      <c r="AF7" s="6" t="n"/>
      <c r="AG7" s="63" t="n"/>
      <c r="AH7" s="6" t="n"/>
      <c r="AI7" s="63" t="n"/>
      <c r="AJ7" s="6" t="n"/>
      <c r="AK7" s="63" t="n"/>
      <c r="AL7" s="6" t="n"/>
      <c r="AM7" s="63" t="n"/>
      <c r="AN7" s="5" t="n"/>
      <c r="AO7" s="6" t="n"/>
      <c r="AP7" s="63" t="n"/>
      <c r="AQ7" s="6" t="n"/>
      <c r="AR7" s="62" t="n"/>
      <c r="AS7" s="5" t="n"/>
      <c r="AT7" s="6" t="n"/>
      <c r="AU7" s="63" t="n"/>
      <c r="AV7" s="6" t="n"/>
      <c r="AW7" s="63" t="n"/>
      <c r="AX7" s="6" t="n"/>
      <c r="AY7" s="63" t="n"/>
      <c r="AZ7" s="6" t="n"/>
      <c r="BA7" s="63" t="n"/>
      <c r="BB7" s="5" t="n"/>
      <c r="BC7" s="6" t="n"/>
      <c r="BD7" s="63" t="n"/>
      <c r="BE7" s="6" t="n"/>
      <c r="BF7" s="62" t="n"/>
      <c r="BG7" s="5" t="n"/>
      <c r="BH7" s="6" t="n"/>
      <c r="BI7" s="64" t="n"/>
      <c r="BJ7" s="5" t="n"/>
      <c r="BK7" s="42" t="n"/>
    </row>
    <row r="8" ht="90" customHeight="1">
      <c r="A8" s="65" t="inlineStr">
        <is>
          <t>IT-HOST-002</t>
        </is>
      </c>
      <c r="B8" s="6" t="n"/>
      <c r="C8" s="66" t="inlineStr">
        <is>
          <t>ホストデバイス制御</t>
        </is>
      </c>
      <c r="D8" s="5" t="n"/>
      <c r="E8" s="5" t="n"/>
      <c r="F8" s="6" t="n"/>
      <c r="G8" s="66" t="inlineStr">
        <is>
          <t>OPOSランタイム</t>
        </is>
      </c>
      <c r="H8" s="5" t="n"/>
      <c r="I8" s="6" t="n"/>
      <c r="J8" s="66" t="inlineStr">
        <is>
          <t>ServiceOPOSマッピング確認</t>
        </is>
      </c>
      <c r="K8" s="5" t="n"/>
      <c r="L8" s="6" t="n"/>
      <c r="M8" s="66" t="inlineStr">
        <is>
          <t>Windows端末にServiceOPOS設定が登録され、論理デバイス名とService Objectが設定済みである。</t>
        </is>
      </c>
      <c r="N8" s="5" t="n"/>
      <c r="O8" s="5" t="n"/>
      <c r="P8" s="5" t="n"/>
      <c r="Q8" s="6" t="n"/>
      <c r="R8" s="66" t="inlineStr">
        <is>
          <t>1. ServiceOPOS のカテゴリキーを確認する。
2. 対象デバイスの論理デバイス名とService Object ProgIDを確認する。
3. レジストリ画面、設定ファイル、または確認コマンド結果を証跡として保存する。</t>
        </is>
      </c>
      <c r="S8" s="5" t="n"/>
      <c r="T8" s="5" t="n"/>
      <c r="U8" s="5" t="n"/>
      <c r="V8" s="5" t="n"/>
      <c r="W8" s="5" t="n"/>
      <c r="X8" s="6" t="n"/>
      <c r="Y8" s="66" t="inlineStr">
        <is>
          <t>ServiceOPOS のカテゴリ、論理デバイス名、Service Object ProgID が設計値と一致する。</t>
        </is>
      </c>
      <c r="Z8" s="5" t="n"/>
      <c r="AA8" s="5" t="n"/>
      <c r="AB8" s="5" t="n"/>
      <c r="AC8" s="5" t="n"/>
      <c r="AD8" s="6" t="n"/>
      <c r="AE8" s="67" t="inlineStr">
        <is>
          <t>N</t>
        </is>
      </c>
      <c r="AF8" s="6" t="n"/>
      <c r="AG8" s="67" t="n"/>
      <c r="AH8" s="6" t="n"/>
      <c r="AI8" s="67" t="n"/>
      <c r="AJ8" s="6" t="n"/>
      <c r="AK8" s="67" t="n"/>
      <c r="AL8" s="6" t="n"/>
      <c r="AM8" s="67" t="n"/>
      <c r="AN8" s="5" t="n"/>
      <c r="AO8" s="6" t="n"/>
      <c r="AP8" s="67" t="n"/>
      <c r="AQ8" s="6" t="n"/>
      <c r="AR8" s="66" t="n"/>
      <c r="AS8" s="5" t="n"/>
      <c r="AT8" s="6" t="n"/>
      <c r="AU8" s="67" t="n"/>
      <c r="AV8" s="6" t="n"/>
      <c r="AW8" s="67" t="n"/>
      <c r="AX8" s="6" t="n"/>
      <c r="AY8" s="67" t="n"/>
      <c r="AZ8" s="6" t="n"/>
      <c r="BA8" s="67" t="n"/>
      <c r="BB8" s="5" t="n"/>
      <c r="BC8" s="6" t="n"/>
      <c r="BD8" s="67" t="n"/>
      <c r="BE8" s="6" t="n"/>
      <c r="BF8" s="66" t="n"/>
      <c r="BG8" s="5" t="n"/>
      <c r="BH8" s="6" t="n"/>
      <c r="BI8" s="68" t="n"/>
      <c r="BJ8" s="5" t="n"/>
      <c r="BK8" s="42" t="n"/>
    </row>
    <row r="9" ht="120" customHeight="1">
      <c r="A9" s="61" t="inlineStr">
        <is>
          <t>IT-HOST-003</t>
        </is>
      </c>
      <c r="B9" s="6" t="n"/>
      <c r="C9" s="62" t="inlineStr">
        <is>
          <t>ホストデバイス制御</t>
        </is>
      </c>
      <c r="D9" s="5" t="n"/>
      <c r="E9" s="5" t="n"/>
      <c r="F9" s="6" t="n"/>
      <c r="G9" s="62" t="inlineStr">
        <is>
          <t>OPOS実機接続</t>
        </is>
      </c>
      <c r="H9" s="5" t="n"/>
      <c r="I9" s="6" t="n"/>
      <c r="J9" s="62" t="inlineStr">
        <is>
          <t>論理デバイスOpen確認</t>
        </is>
      </c>
      <c r="K9" s="5" t="n"/>
      <c r="L9" s="6" t="n"/>
      <c r="M9" s="62" t="inlineStr">
        <is>
          <t>対象OPOS実機または店舗相当ランタイムが利用可能であり、実機確認用フラグが有効である。</t>
        </is>
      </c>
      <c r="N9" s="5" t="n"/>
      <c r="O9" s="5" t="n"/>
      <c r="P9" s="5" t="n"/>
      <c r="Q9" s="6" t="n"/>
      <c r="R9" s="62" t="inlineStr">
        <is>
          <t>1. 実機または店舗相当ランタイムを接続する。
2. 実機確認用フラグを有効化する。
3. Cash Changer、Customer Display、Cash Drawer の論理デバイス名を指定してOpen確認を実施する。
4. 実行画面、結果ログ、ResultCodeを証跡として保存する。</t>
        </is>
      </c>
      <c r="S9" s="5" t="n"/>
      <c r="T9" s="5" t="n"/>
      <c r="U9" s="5" t="n"/>
      <c r="V9" s="5" t="n"/>
      <c r="W9" s="5" t="n"/>
      <c r="X9" s="6" t="n"/>
      <c r="Y9" s="62" t="inlineStr">
        <is>
          <t>各論理デバイスのOpenが成功し、ResultCodeが正常値となる。実機確認用フラグが無効な場合は未実施として扱う。</t>
        </is>
      </c>
      <c r="Z9" s="5" t="n"/>
      <c r="AA9" s="5" t="n"/>
      <c r="AB9" s="5" t="n"/>
      <c r="AC9" s="5" t="n"/>
      <c r="AD9" s="6" t="n"/>
      <c r="AE9" s="63" t="inlineStr">
        <is>
          <t>B</t>
        </is>
      </c>
      <c r="AF9" s="6" t="n"/>
      <c r="AG9" s="63" t="n"/>
      <c r="AH9" s="6" t="n"/>
      <c r="AI9" s="63" t="n"/>
      <c r="AJ9" s="6" t="n"/>
      <c r="AK9" s="63" t="n"/>
      <c r="AL9" s="6" t="n"/>
      <c r="AM9" s="63" t="n"/>
      <c r="AN9" s="5" t="n"/>
      <c r="AO9" s="6" t="n"/>
      <c r="AP9" s="63" t="n"/>
      <c r="AQ9" s="6" t="n"/>
      <c r="AR9" s="62" t="n"/>
      <c r="AS9" s="5" t="n"/>
      <c r="AT9" s="6" t="n"/>
      <c r="AU9" s="63" t="n"/>
      <c r="AV9" s="6" t="n"/>
      <c r="AW9" s="63" t="n"/>
      <c r="AX9" s="6" t="n"/>
      <c r="AY9" s="63" t="n"/>
      <c r="AZ9" s="6" t="n"/>
      <c r="BA9" s="63" t="n"/>
      <c r="BB9" s="5" t="n"/>
      <c r="BC9" s="6" t="n"/>
      <c r="BD9" s="63" t="n"/>
      <c r="BE9" s="6" t="n"/>
      <c r="BF9" s="62" t="n"/>
      <c r="BG9" s="5" t="n"/>
      <c r="BH9" s="6" t="n"/>
      <c r="BI9" s="64" t="n"/>
      <c r="BJ9" s="5" t="n"/>
      <c r="BK9" s="42" t="n"/>
    </row>
    <row r="10" ht="90" customHeight="1">
      <c r="A10" s="65" t="inlineStr">
        <is>
          <t>IT-HOST-004</t>
        </is>
      </c>
      <c r="B10" s="6" t="n"/>
      <c r="C10" s="66" t="inlineStr">
        <is>
          <t>ホストデバイス制御</t>
        </is>
      </c>
      <c r="D10" s="5" t="n"/>
      <c r="E10" s="5" t="n"/>
      <c r="F10" s="6" t="n"/>
      <c r="G10" s="66" t="inlineStr">
        <is>
          <t>Customer Display</t>
        </is>
      </c>
      <c r="H10" s="5" t="n"/>
      <c r="I10" s="6" t="n"/>
      <c r="J10" s="66" t="inlineStr">
        <is>
          <t>使用開始</t>
        </is>
      </c>
      <c r="K10" s="5" t="n"/>
      <c r="L10" s="6" t="n"/>
      <c r="M10" s="66" t="inlineStr">
        <is>
          <t>Customer Display が接続済みで、デバイス戦略からホストへ表示器の使用開始要求を送信できる状態である。</t>
        </is>
      </c>
      <c r="N10" s="5" t="n"/>
      <c r="O10" s="5" t="n"/>
      <c r="P10" s="5" t="n"/>
      <c r="Q10" s="6" t="n"/>
      <c r="R10" s="66" t="inlineStr">
        <is>
          <t>1. デバイス戦略から Customer Display の使用開始操作を実行する。
2. ホスト応答、ホストログ、OPOSログを確認する。
3. 実行画面またはログを証跡として保存する。</t>
        </is>
      </c>
      <c r="S10" s="5" t="n"/>
      <c r="T10" s="5" t="n"/>
      <c r="U10" s="5" t="n"/>
      <c r="V10" s="5" t="n"/>
      <c r="W10" s="5" t="n"/>
      <c r="X10" s="6" t="n"/>
      <c r="Y10" s="66" t="inlineStr">
        <is>
          <t>ホスト経由で Customer Display の使用開始が正常終了し、デバイス戦略へ正常結果が返る。以降の表示操作を受け付ける状態になる。</t>
        </is>
      </c>
      <c r="Z10" s="5" t="n"/>
      <c r="AA10" s="5" t="n"/>
      <c r="AB10" s="5" t="n"/>
      <c r="AC10" s="5" t="n"/>
      <c r="AD10" s="6" t="n"/>
      <c r="AE10" s="67" t="inlineStr">
        <is>
          <t>N</t>
        </is>
      </c>
      <c r="AF10" s="6" t="n"/>
      <c r="AG10" s="67" t="n"/>
      <c r="AH10" s="6" t="n"/>
      <c r="AI10" s="67" t="n"/>
      <c r="AJ10" s="6" t="n"/>
      <c r="AK10" s="67" t="n"/>
      <c r="AL10" s="6" t="n"/>
      <c r="AM10" s="67" t="n"/>
      <c r="AN10" s="5" t="n"/>
      <c r="AO10" s="6" t="n"/>
      <c r="AP10" s="67" t="n"/>
      <c r="AQ10" s="6" t="n"/>
      <c r="AR10" s="66" t="n"/>
      <c r="AS10" s="5" t="n"/>
      <c r="AT10" s="6" t="n"/>
      <c r="AU10" s="67" t="n"/>
      <c r="AV10" s="6" t="n"/>
      <c r="AW10" s="67" t="n"/>
      <c r="AX10" s="6" t="n"/>
      <c r="AY10" s="67" t="n"/>
      <c r="AZ10" s="6" t="n"/>
      <c r="BA10" s="67" t="n"/>
      <c r="BB10" s="5" t="n"/>
      <c r="BC10" s="6" t="n"/>
      <c r="BD10" s="67" t="n"/>
      <c r="BE10" s="6" t="n"/>
      <c r="BF10" s="66" t="n"/>
      <c r="BG10" s="5" t="n"/>
      <c r="BH10" s="6" t="n"/>
      <c r="BI10" s="68" t="n"/>
      <c r="BJ10" s="5" t="n"/>
      <c r="BK10" s="42" t="n"/>
    </row>
    <row r="11" ht="90" customHeight="1">
      <c r="A11" s="61" t="inlineStr">
        <is>
          <t>IT-HOST-005</t>
        </is>
      </c>
      <c r="B11" s="6" t="n"/>
      <c r="C11" s="62" t="inlineStr">
        <is>
          <t>ホストデバイス制御</t>
        </is>
      </c>
      <c r="D11" s="5" t="n"/>
      <c r="E11" s="5" t="n"/>
      <c r="F11" s="6" t="n"/>
      <c r="G11" s="62" t="inlineStr">
        <is>
          <t>Customer Display</t>
        </is>
      </c>
      <c r="H11" s="5" t="n"/>
      <c r="I11" s="6" t="n"/>
      <c r="J11" s="62" t="inlineStr">
        <is>
          <t>文字列表示</t>
        </is>
      </c>
      <c r="K11" s="5" t="n"/>
      <c r="L11" s="6" t="n"/>
      <c r="M11" s="62" t="inlineStr">
        <is>
          <t>Customer Display の使用開始が完了し、デバイス戦略からホストへ表示要求を送信できる状態である。</t>
        </is>
      </c>
      <c r="N11" s="5" t="n"/>
      <c r="O11" s="5" t="n"/>
      <c r="P11" s="5" t="n"/>
      <c r="Q11" s="6" t="n"/>
      <c r="R11" s="62" t="inlineStr">
        <is>
          <t>1. デバイス戦略から任意の表示文字列を1行表示する。
2. ホスト応答、実機表示内容、ホストログを確認する。
3. 表示器の写真または動画、ログを証跡として保存する。</t>
        </is>
      </c>
      <c r="S11" s="5" t="n"/>
      <c r="T11" s="5" t="n"/>
      <c r="U11" s="5" t="n"/>
      <c r="V11" s="5" t="n"/>
      <c r="W11" s="5" t="n"/>
      <c r="X11" s="6" t="n"/>
      <c r="Y11" s="62" t="inlineStr">
        <is>
          <t>指定した文字列が Customer Display に表示され、デバイス戦略へ正常結果が返る。</t>
        </is>
      </c>
      <c r="Z11" s="5" t="n"/>
      <c r="AA11" s="5" t="n"/>
      <c r="AB11" s="5" t="n"/>
      <c r="AC11" s="5" t="n"/>
      <c r="AD11" s="6" t="n"/>
      <c r="AE11" s="63" t="inlineStr">
        <is>
          <t>N</t>
        </is>
      </c>
      <c r="AF11" s="6" t="n"/>
      <c r="AG11" s="63" t="n"/>
      <c r="AH11" s="6" t="n"/>
      <c r="AI11" s="63" t="n"/>
      <c r="AJ11" s="6" t="n"/>
      <c r="AK11" s="63" t="n"/>
      <c r="AL11" s="6" t="n"/>
      <c r="AM11" s="63" t="n"/>
      <c r="AN11" s="5" t="n"/>
      <c r="AO11" s="6" t="n"/>
      <c r="AP11" s="63" t="n"/>
      <c r="AQ11" s="6" t="n"/>
      <c r="AR11" s="62" t="n"/>
      <c r="AS11" s="5" t="n"/>
      <c r="AT11" s="6" t="n"/>
      <c r="AU11" s="63" t="n"/>
      <c r="AV11" s="6" t="n"/>
      <c r="AW11" s="63" t="n"/>
      <c r="AX11" s="6" t="n"/>
      <c r="AY11" s="63" t="n"/>
      <c r="AZ11" s="6" t="n"/>
      <c r="BA11" s="63" t="n"/>
      <c r="BB11" s="5" t="n"/>
      <c r="BC11" s="6" t="n"/>
      <c r="BD11" s="63" t="n"/>
      <c r="BE11" s="6" t="n"/>
      <c r="BF11" s="62" t="n"/>
      <c r="BG11" s="5" t="n"/>
      <c r="BH11" s="6" t="n"/>
      <c r="BI11" s="64" t="n"/>
      <c r="BJ11" s="5" t="n"/>
      <c r="BK11" s="42" t="n"/>
    </row>
    <row r="12" ht="90" customHeight="1">
      <c r="A12" s="65" t="inlineStr">
        <is>
          <t>IT-HOST-006</t>
        </is>
      </c>
      <c r="B12" s="6" t="n"/>
      <c r="C12" s="66" t="inlineStr">
        <is>
          <t>ホストデバイス制御</t>
        </is>
      </c>
      <c r="D12" s="5" t="n"/>
      <c r="E12" s="5" t="n"/>
      <c r="F12" s="6" t="n"/>
      <c r="G12" s="66" t="inlineStr">
        <is>
          <t>Customer Display</t>
        </is>
      </c>
      <c r="H12" s="5" t="n"/>
      <c r="I12" s="6" t="n"/>
      <c r="J12" s="66" t="inlineStr">
        <is>
          <t>位置指定表示</t>
        </is>
      </c>
      <c r="K12" s="5" t="n"/>
      <c r="L12" s="6" t="n"/>
      <c r="M12" s="66" t="inlineStr">
        <is>
          <t>Customer Display の使用開始が完了し、行・列を指定した表示要求を送信できる状態である。</t>
        </is>
      </c>
      <c r="N12" s="5" t="n"/>
      <c r="O12" s="5" t="n"/>
      <c r="P12" s="5" t="n"/>
      <c r="Q12" s="6" t="n"/>
      <c r="R12" s="66" t="inlineStr">
        <is>
          <t>1. デバイス戦略から行番号、列番号、表示文字列を指定して表示する。
2. ホスト応答、実機の表示位置、表示内容を確認する。
3. 表示器の写真または動画、ログを証跡として保存する。</t>
        </is>
      </c>
      <c r="S12" s="5" t="n"/>
      <c r="T12" s="5" t="n"/>
      <c r="U12" s="5" t="n"/>
      <c r="V12" s="5" t="n"/>
      <c r="W12" s="5" t="n"/>
      <c r="X12" s="6" t="n"/>
      <c r="Y12" s="66" t="inlineStr">
        <is>
          <t>指定した行・列に文字列が表示され、デバイス戦略へ正常結果が返る。</t>
        </is>
      </c>
      <c r="Z12" s="5" t="n"/>
      <c r="AA12" s="5" t="n"/>
      <c r="AB12" s="5" t="n"/>
      <c r="AC12" s="5" t="n"/>
      <c r="AD12" s="6" t="n"/>
      <c r="AE12" s="67" t="inlineStr">
        <is>
          <t>N</t>
        </is>
      </c>
      <c r="AF12" s="6" t="n"/>
      <c r="AG12" s="67" t="n"/>
      <c r="AH12" s="6" t="n"/>
      <c r="AI12" s="67" t="n"/>
      <c r="AJ12" s="6" t="n"/>
      <c r="AK12" s="67" t="n"/>
      <c r="AL12" s="6" t="n"/>
      <c r="AM12" s="67" t="n"/>
      <c r="AN12" s="5" t="n"/>
      <c r="AO12" s="6" t="n"/>
      <c r="AP12" s="67" t="n"/>
      <c r="AQ12" s="6" t="n"/>
      <c r="AR12" s="66" t="n"/>
      <c r="AS12" s="5" t="n"/>
      <c r="AT12" s="6" t="n"/>
      <c r="AU12" s="67" t="n"/>
      <c r="AV12" s="6" t="n"/>
      <c r="AW12" s="67" t="n"/>
      <c r="AX12" s="6" t="n"/>
      <c r="AY12" s="67" t="n"/>
      <c r="AZ12" s="6" t="n"/>
      <c r="BA12" s="67" t="n"/>
      <c r="BB12" s="5" t="n"/>
      <c r="BC12" s="6" t="n"/>
      <c r="BD12" s="67" t="n"/>
      <c r="BE12" s="6" t="n"/>
      <c r="BF12" s="66" t="n"/>
      <c r="BG12" s="5" t="n"/>
      <c r="BH12" s="6" t="n"/>
      <c r="BI12" s="68" t="n"/>
      <c r="BJ12" s="5" t="n"/>
      <c r="BK12" s="42" t="n"/>
    </row>
    <row r="13" ht="90" customHeight="1">
      <c r="A13" s="61" t="inlineStr">
        <is>
          <t>IT-HOST-007</t>
        </is>
      </c>
      <c r="B13" s="6" t="n"/>
      <c r="C13" s="62" t="inlineStr">
        <is>
          <t>ホストデバイス制御</t>
        </is>
      </c>
      <c r="D13" s="5" t="n"/>
      <c r="E13" s="5" t="n"/>
      <c r="F13" s="6" t="n"/>
      <c r="G13" s="62" t="inlineStr">
        <is>
          <t>Customer Display</t>
        </is>
      </c>
      <c r="H13" s="5" t="n"/>
      <c r="I13" s="6" t="n"/>
      <c r="J13" s="62" t="inlineStr">
        <is>
          <t>表示クリア</t>
        </is>
      </c>
      <c r="K13" s="5" t="n"/>
      <c r="L13" s="6" t="n"/>
      <c r="M13" s="62" t="inlineStr">
        <is>
          <t>Customer Display に文字列が表示され、デバイス戦略からホストへ表示クリア要求を送信できる状態である。</t>
        </is>
      </c>
      <c r="N13" s="5" t="n"/>
      <c r="O13" s="5" t="n"/>
      <c r="P13" s="5" t="n"/>
      <c r="Q13" s="6" t="n"/>
      <c r="R13" s="62" t="inlineStr">
        <is>
          <t>1. デバイス戦略から表示クリア操作を実行する。
2. ホスト応答、実機表示、ホストログを確認する。
3. クリア前後の写真または動画、ログを証跡として保存する。</t>
        </is>
      </c>
      <c r="S13" s="5" t="n"/>
      <c r="T13" s="5" t="n"/>
      <c r="U13" s="5" t="n"/>
      <c r="V13" s="5" t="n"/>
      <c r="W13" s="5" t="n"/>
      <c r="X13" s="6" t="n"/>
      <c r="Y13" s="62" t="inlineStr">
        <is>
          <t>表示中の文字列がクリアされ、デバイス戦略へ正常結果が返る。</t>
        </is>
      </c>
      <c r="Z13" s="5" t="n"/>
      <c r="AA13" s="5" t="n"/>
      <c r="AB13" s="5" t="n"/>
      <c r="AC13" s="5" t="n"/>
      <c r="AD13" s="6" t="n"/>
      <c r="AE13" s="63" t="inlineStr">
        <is>
          <t>N</t>
        </is>
      </c>
      <c r="AF13" s="6" t="n"/>
      <c r="AG13" s="63" t="n"/>
      <c r="AH13" s="6" t="n"/>
      <c r="AI13" s="63" t="n"/>
      <c r="AJ13" s="6" t="n"/>
      <c r="AK13" s="63" t="n"/>
      <c r="AL13" s="6" t="n"/>
      <c r="AM13" s="63" t="n"/>
      <c r="AN13" s="5" t="n"/>
      <c r="AO13" s="6" t="n"/>
      <c r="AP13" s="63" t="n"/>
      <c r="AQ13" s="6" t="n"/>
      <c r="AR13" s="62" t="n"/>
      <c r="AS13" s="5" t="n"/>
      <c r="AT13" s="6" t="n"/>
      <c r="AU13" s="63" t="n"/>
      <c r="AV13" s="6" t="n"/>
      <c r="AW13" s="63" t="n"/>
      <c r="AX13" s="6" t="n"/>
      <c r="AY13" s="63" t="n"/>
      <c r="AZ13" s="6" t="n"/>
      <c r="BA13" s="63" t="n"/>
      <c r="BB13" s="5" t="n"/>
      <c r="BC13" s="6" t="n"/>
      <c r="BD13" s="63" t="n"/>
      <c r="BE13" s="6" t="n"/>
      <c r="BF13" s="62" t="n"/>
      <c r="BG13" s="5" t="n"/>
      <c r="BH13" s="6" t="n"/>
      <c r="BI13" s="64" t="n"/>
      <c r="BJ13" s="5" t="n"/>
      <c r="BK13" s="42" t="n"/>
    </row>
    <row r="14" ht="75" customHeight="1">
      <c r="A14" s="65" t="inlineStr">
        <is>
          <t>IT-HOST-008</t>
        </is>
      </c>
      <c r="B14" s="6" t="n"/>
      <c r="C14" s="66" t="inlineStr">
        <is>
          <t>ホストデバイス制御</t>
        </is>
      </c>
      <c r="D14" s="5" t="n"/>
      <c r="E14" s="5" t="n"/>
      <c r="F14" s="6" t="n"/>
      <c r="G14" s="66" t="inlineStr">
        <is>
          <t>Customer Display</t>
        </is>
      </c>
      <c r="H14" s="5" t="n"/>
      <c r="I14" s="6" t="n"/>
      <c r="J14" s="66" t="inlineStr">
        <is>
          <t>ディスクリプタクリア</t>
        </is>
      </c>
      <c r="K14" s="5" t="n"/>
      <c r="L14" s="6" t="n"/>
      <c r="M14" s="66" t="inlineStr">
        <is>
          <t>Customer Display の使用開始が完了し、デバイス戦略からホストへディスクリプタクリア要求を送信できる状態である。</t>
        </is>
      </c>
      <c r="N14" s="5" t="n"/>
      <c r="O14" s="5" t="n"/>
      <c r="P14" s="5" t="n"/>
      <c r="Q14" s="6" t="n"/>
      <c r="R14" s="66" t="inlineStr">
        <is>
          <t>1. デバイス戦略からディスクリプタクリア操作を実行する。
2. ホスト応答、ホストログ、OPOSログを確認する。
3. 実行結果ログを証跡として保存する。</t>
        </is>
      </c>
      <c r="S14" s="5" t="n"/>
      <c r="T14" s="5" t="n"/>
      <c r="U14" s="5" t="n"/>
      <c r="V14" s="5" t="n"/>
      <c r="W14" s="5" t="n"/>
      <c r="X14" s="6" t="n"/>
      <c r="Y14" s="66" t="inlineStr">
        <is>
          <t>ディスクリプタクリアがホスト経由で正常終了し、デバイス戦略へ正常結果が返る。</t>
        </is>
      </c>
      <c r="Z14" s="5" t="n"/>
      <c r="AA14" s="5" t="n"/>
      <c r="AB14" s="5" t="n"/>
      <c r="AC14" s="5" t="n"/>
      <c r="AD14" s="6" t="n"/>
      <c r="AE14" s="67" t="inlineStr">
        <is>
          <t>N</t>
        </is>
      </c>
      <c r="AF14" s="6" t="n"/>
      <c r="AG14" s="67" t="n"/>
      <c r="AH14" s="6" t="n"/>
      <c r="AI14" s="67" t="n"/>
      <c r="AJ14" s="6" t="n"/>
      <c r="AK14" s="67" t="n"/>
      <c r="AL14" s="6" t="n"/>
      <c r="AM14" s="67" t="n"/>
      <c r="AN14" s="5" t="n"/>
      <c r="AO14" s="6" t="n"/>
      <c r="AP14" s="67" t="n"/>
      <c r="AQ14" s="6" t="n"/>
      <c r="AR14" s="66" t="n"/>
      <c r="AS14" s="5" t="n"/>
      <c r="AT14" s="6" t="n"/>
      <c r="AU14" s="67" t="n"/>
      <c r="AV14" s="6" t="n"/>
      <c r="AW14" s="67" t="n"/>
      <c r="AX14" s="6" t="n"/>
      <c r="AY14" s="67" t="n"/>
      <c r="AZ14" s="6" t="n"/>
      <c r="BA14" s="67" t="n"/>
      <c r="BB14" s="5" t="n"/>
      <c r="BC14" s="6" t="n"/>
      <c r="BD14" s="67" t="n"/>
      <c r="BE14" s="6" t="n"/>
      <c r="BF14" s="66" t="n"/>
      <c r="BG14" s="5" t="n"/>
      <c r="BH14" s="6" t="n"/>
      <c r="BI14" s="68" t="n"/>
      <c r="BJ14" s="5" t="n"/>
      <c r="BK14" s="42" t="n"/>
    </row>
    <row r="15" ht="90" customHeight="1">
      <c r="A15" s="61" t="inlineStr">
        <is>
          <t>IT-HOST-009</t>
        </is>
      </c>
      <c r="B15" s="6" t="n"/>
      <c r="C15" s="62" t="inlineStr">
        <is>
          <t>ホストデバイス制御</t>
        </is>
      </c>
      <c r="D15" s="5" t="n"/>
      <c r="E15" s="5" t="n"/>
      <c r="F15" s="6" t="n"/>
      <c r="G15" s="62" t="inlineStr">
        <is>
          <t>Customer Display</t>
        </is>
      </c>
      <c r="H15" s="5" t="n"/>
      <c r="I15" s="6" t="n"/>
      <c r="J15" s="62" t="inlineStr">
        <is>
          <t>スクロール表示</t>
        </is>
      </c>
      <c r="K15" s="5" t="n"/>
      <c r="L15" s="6" t="n"/>
      <c r="M15" s="62" t="inlineStr">
        <is>
          <t>Customer Display の使用開始が完了し、スクロール可能な文字列を表示できる状態である。</t>
        </is>
      </c>
      <c r="N15" s="5" t="n"/>
      <c r="O15" s="5" t="n"/>
      <c r="P15" s="5" t="n"/>
      <c r="Q15" s="6" t="n"/>
      <c r="R15" s="62" t="inlineStr">
        <is>
          <t>1. デバイス戦略から表示文字列を設定する。
2. スクロール操作を実行する。
3. ホスト応答、表示器の動作、ホストログ、OPOSログを確認し、写真または動画を証跡として保存する。</t>
        </is>
      </c>
      <c r="S15" s="5" t="n"/>
      <c r="T15" s="5" t="n"/>
      <c r="U15" s="5" t="n"/>
      <c r="V15" s="5" t="n"/>
      <c r="W15" s="5" t="n"/>
      <c r="X15" s="6" t="n"/>
      <c r="Y15" s="62" t="inlineStr">
        <is>
          <t>指定方向または指定単位のスクロール動作が実機で確認でき、デバイス戦略へ正常結果が返る。</t>
        </is>
      </c>
      <c r="Z15" s="5" t="n"/>
      <c r="AA15" s="5" t="n"/>
      <c r="AB15" s="5" t="n"/>
      <c r="AC15" s="5" t="n"/>
      <c r="AD15" s="6" t="n"/>
      <c r="AE15" s="63" t="inlineStr">
        <is>
          <t>N</t>
        </is>
      </c>
      <c r="AF15" s="6" t="n"/>
      <c r="AG15" s="63" t="n"/>
      <c r="AH15" s="6" t="n"/>
      <c r="AI15" s="63" t="n"/>
      <c r="AJ15" s="6" t="n"/>
      <c r="AK15" s="63" t="n"/>
      <c r="AL15" s="6" t="n"/>
      <c r="AM15" s="63" t="n"/>
      <c r="AN15" s="5" t="n"/>
      <c r="AO15" s="6" t="n"/>
      <c r="AP15" s="63" t="n"/>
      <c r="AQ15" s="6" t="n"/>
      <c r="AR15" s="62" t="n"/>
      <c r="AS15" s="5" t="n"/>
      <c r="AT15" s="6" t="n"/>
      <c r="AU15" s="63" t="n"/>
      <c r="AV15" s="6" t="n"/>
      <c r="AW15" s="63" t="n"/>
      <c r="AX15" s="6" t="n"/>
      <c r="AY15" s="63" t="n"/>
      <c r="AZ15" s="6" t="n"/>
      <c r="BA15" s="63" t="n"/>
      <c r="BB15" s="5" t="n"/>
      <c r="BC15" s="6" t="n"/>
      <c r="BD15" s="63" t="n"/>
      <c r="BE15" s="6" t="n"/>
      <c r="BF15" s="62" t="n"/>
      <c r="BG15" s="5" t="n"/>
      <c r="BH15" s="6" t="n"/>
      <c r="BI15" s="64" t="n"/>
      <c r="BJ15" s="5" t="n"/>
      <c r="BK15" s="42" t="n"/>
    </row>
    <row r="16" ht="75" customHeight="1">
      <c r="A16" s="65" t="inlineStr">
        <is>
          <t>IT-HOST-010</t>
        </is>
      </c>
      <c r="B16" s="6" t="n"/>
      <c r="C16" s="66" t="inlineStr">
        <is>
          <t>ホストデバイス制御</t>
        </is>
      </c>
      <c r="D16" s="5" t="n"/>
      <c r="E16" s="5" t="n"/>
      <c r="F16" s="6" t="n"/>
      <c r="G16" s="66" t="inlineStr">
        <is>
          <t>Customer Display</t>
        </is>
      </c>
      <c r="H16" s="5" t="n"/>
      <c r="I16" s="6" t="n"/>
      <c r="J16" s="66" t="inlineStr">
        <is>
          <t>使用終了</t>
        </is>
      </c>
      <c r="K16" s="5" t="n"/>
      <c r="L16" s="6" t="n"/>
      <c r="M16" s="66" t="inlineStr">
        <is>
          <t>Customer Display の使用開始が完了し、デバイス戦略からホストへ使用終了要求を送信できる状態である。</t>
        </is>
      </c>
      <c r="N16" s="5" t="n"/>
      <c r="O16" s="5" t="n"/>
      <c r="P16" s="5" t="n"/>
      <c r="Q16" s="6" t="n"/>
      <c r="R16" s="66" t="inlineStr">
        <is>
          <t>1. デバイス戦略から Customer Display の使用終了操作を実行する。
2. ホスト応答、ホストログ、OPOSログを確認する。
3. 実行結果ログを証跡として保存する。</t>
        </is>
      </c>
      <c r="S16" s="5" t="n"/>
      <c r="T16" s="5" t="n"/>
      <c r="U16" s="5" t="n"/>
      <c r="V16" s="5" t="n"/>
      <c r="W16" s="5" t="n"/>
      <c r="X16" s="6" t="n"/>
      <c r="Y16" s="66" t="inlineStr">
        <is>
          <t>ホスト経由で Customer Display の使用終了が正常終了し、デバイス使用状態が解除される。</t>
        </is>
      </c>
      <c r="Z16" s="5" t="n"/>
      <c r="AA16" s="5" t="n"/>
      <c r="AB16" s="5" t="n"/>
      <c r="AC16" s="5" t="n"/>
      <c r="AD16" s="6" t="n"/>
      <c r="AE16" s="67" t="inlineStr">
        <is>
          <t>N</t>
        </is>
      </c>
      <c r="AF16" s="6" t="n"/>
      <c r="AG16" s="67" t="n"/>
      <c r="AH16" s="6" t="n"/>
      <c r="AI16" s="67" t="n"/>
      <c r="AJ16" s="6" t="n"/>
      <c r="AK16" s="67" t="n"/>
      <c r="AL16" s="6" t="n"/>
      <c r="AM16" s="67" t="n"/>
      <c r="AN16" s="5" t="n"/>
      <c r="AO16" s="6" t="n"/>
      <c r="AP16" s="67" t="n"/>
      <c r="AQ16" s="6" t="n"/>
      <c r="AR16" s="66" t="n"/>
      <c r="AS16" s="5" t="n"/>
      <c r="AT16" s="6" t="n"/>
      <c r="AU16" s="67" t="n"/>
      <c r="AV16" s="6" t="n"/>
      <c r="AW16" s="67" t="n"/>
      <c r="AX16" s="6" t="n"/>
      <c r="AY16" s="67" t="n"/>
      <c r="AZ16" s="6" t="n"/>
      <c r="BA16" s="67" t="n"/>
      <c r="BB16" s="5" t="n"/>
      <c r="BC16" s="6" t="n"/>
      <c r="BD16" s="67" t="n"/>
      <c r="BE16" s="6" t="n"/>
      <c r="BF16" s="66" t="n"/>
      <c r="BG16" s="5" t="n"/>
      <c r="BH16" s="6" t="n"/>
      <c r="BI16" s="68" t="n"/>
      <c r="BJ16" s="5" t="n"/>
      <c r="BK16" s="42" t="n"/>
    </row>
    <row r="17" ht="90" customHeight="1">
      <c r="A17" s="61" t="inlineStr">
        <is>
          <t>IT-HOST-011</t>
        </is>
      </c>
      <c r="B17" s="6" t="n"/>
      <c r="C17" s="62" t="inlineStr">
        <is>
          <t>ホストデバイス制御</t>
        </is>
      </c>
      <c r="D17" s="5" t="n"/>
      <c r="E17" s="5" t="n"/>
      <c r="F17" s="6" t="n"/>
      <c r="G17" s="62" t="inlineStr">
        <is>
          <t>Cash Drawer</t>
        </is>
      </c>
      <c r="H17" s="5" t="n"/>
      <c r="I17" s="6" t="n"/>
      <c r="J17" s="62" t="inlineStr">
        <is>
          <t>使用開始</t>
        </is>
      </c>
      <c r="K17" s="5" t="n"/>
      <c r="L17" s="6" t="n"/>
      <c r="M17" s="62" t="inlineStr">
        <is>
          <t>Cash Drawer が接続済みで、デバイス戦略からホストへドロアの使用開始要求を送信できる状態である。</t>
        </is>
      </c>
      <c r="N17" s="5" t="n"/>
      <c r="O17" s="5" t="n"/>
      <c r="P17" s="5" t="n"/>
      <c r="Q17" s="6" t="n"/>
      <c r="R17" s="62" t="inlineStr">
        <is>
          <t>1. デバイス戦略から Cash Drawer の使用開始操作を実行する。
2. ホスト応答、ホストログ、OPOSログを確認する。
3. 実行画面またはログを証跡として保存する。</t>
        </is>
      </c>
      <c r="S17" s="5" t="n"/>
      <c r="T17" s="5" t="n"/>
      <c r="U17" s="5" t="n"/>
      <c r="V17" s="5" t="n"/>
      <c r="W17" s="5" t="n"/>
      <c r="X17" s="6" t="n"/>
      <c r="Y17" s="62" t="inlineStr">
        <is>
          <t>ホスト経由で Cash Drawer の使用開始が正常終了し、オープン操作を受け付ける状態になる。</t>
        </is>
      </c>
      <c r="Z17" s="5" t="n"/>
      <c r="AA17" s="5" t="n"/>
      <c r="AB17" s="5" t="n"/>
      <c r="AC17" s="5" t="n"/>
      <c r="AD17" s="6" t="n"/>
      <c r="AE17" s="63" t="inlineStr">
        <is>
          <t>N</t>
        </is>
      </c>
      <c r="AF17" s="6" t="n"/>
      <c r="AG17" s="63" t="n"/>
      <c r="AH17" s="6" t="n"/>
      <c r="AI17" s="63" t="n"/>
      <c r="AJ17" s="6" t="n"/>
      <c r="AK17" s="63" t="n"/>
      <c r="AL17" s="6" t="n"/>
      <c r="AM17" s="63" t="n"/>
      <c r="AN17" s="5" t="n"/>
      <c r="AO17" s="6" t="n"/>
      <c r="AP17" s="63" t="n"/>
      <c r="AQ17" s="6" t="n"/>
      <c r="AR17" s="62" t="n"/>
      <c r="AS17" s="5" t="n"/>
      <c r="AT17" s="6" t="n"/>
      <c r="AU17" s="63" t="n"/>
      <c r="AV17" s="6" t="n"/>
      <c r="AW17" s="63" t="n"/>
      <c r="AX17" s="6" t="n"/>
      <c r="AY17" s="63" t="n"/>
      <c r="AZ17" s="6" t="n"/>
      <c r="BA17" s="63" t="n"/>
      <c r="BB17" s="5" t="n"/>
      <c r="BC17" s="6" t="n"/>
      <c r="BD17" s="63" t="n"/>
      <c r="BE17" s="6" t="n"/>
      <c r="BF17" s="62" t="n"/>
      <c r="BG17" s="5" t="n"/>
      <c r="BH17" s="6" t="n"/>
      <c r="BI17" s="64" t="n"/>
      <c r="BJ17" s="5" t="n"/>
      <c r="BK17" s="42" t="n"/>
    </row>
    <row r="18" ht="90" customHeight="1">
      <c r="A18" s="65" t="inlineStr">
        <is>
          <t>IT-HOST-012</t>
        </is>
      </c>
      <c r="B18" s="6" t="n"/>
      <c r="C18" s="66" t="inlineStr">
        <is>
          <t>ホストデバイス制御</t>
        </is>
      </c>
      <c r="D18" s="5" t="n"/>
      <c r="E18" s="5" t="n"/>
      <c r="F18" s="6" t="n"/>
      <c r="G18" s="66" t="inlineStr">
        <is>
          <t>Cash Drawer</t>
        </is>
      </c>
      <c r="H18" s="5" t="n"/>
      <c r="I18" s="6" t="n"/>
      <c r="J18" s="66" t="inlineStr">
        <is>
          <t>ドロアオープン</t>
        </is>
      </c>
      <c r="K18" s="5" t="n"/>
      <c r="L18" s="6" t="n"/>
      <c r="M18" s="66" t="inlineStr">
        <is>
          <t>Cash Drawer の使用開始が完了し、ドロアが安全に開けられる状態である。</t>
        </is>
      </c>
      <c r="N18" s="5" t="n"/>
      <c r="O18" s="5" t="n"/>
      <c r="P18" s="5" t="n"/>
      <c r="Q18" s="6" t="n"/>
      <c r="R18" s="66" t="inlineStr">
        <is>
          <t>1. デバイス戦略からドロアオープン操作を実行する。
2. ホスト応答、実機の開閉状態、ホストログを確認する。
3. ドロアが開いた状態の写真または動画、ログを証跡として保存する。</t>
        </is>
      </c>
      <c r="S18" s="5" t="n"/>
      <c r="T18" s="5" t="n"/>
      <c r="U18" s="5" t="n"/>
      <c r="V18" s="5" t="n"/>
      <c r="W18" s="5" t="n"/>
      <c r="X18" s="6" t="n"/>
      <c r="Y18" s="66" t="inlineStr">
        <is>
          <t>Cash Drawer が開き、デバイス戦略へ正常結果が返る。</t>
        </is>
      </c>
      <c r="Z18" s="5" t="n"/>
      <c r="AA18" s="5" t="n"/>
      <c r="AB18" s="5" t="n"/>
      <c r="AC18" s="5" t="n"/>
      <c r="AD18" s="6" t="n"/>
      <c r="AE18" s="67" t="inlineStr">
        <is>
          <t>N</t>
        </is>
      </c>
      <c r="AF18" s="6" t="n"/>
      <c r="AG18" s="67" t="n"/>
      <c r="AH18" s="6" t="n"/>
      <c r="AI18" s="67" t="n"/>
      <c r="AJ18" s="6" t="n"/>
      <c r="AK18" s="67" t="n"/>
      <c r="AL18" s="6" t="n"/>
      <c r="AM18" s="67" t="n"/>
      <c r="AN18" s="5" t="n"/>
      <c r="AO18" s="6" t="n"/>
      <c r="AP18" s="67" t="n"/>
      <c r="AQ18" s="6" t="n"/>
      <c r="AR18" s="66" t="n"/>
      <c r="AS18" s="5" t="n"/>
      <c r="AT18" s="6" t="n"/>
      <c r="AU18" s="67" t="n"/>
      <c r="AV18" s="6" t="n"/>
      <c r="AW18" s="67" t="n"/>
      <c r="AX18" s="6" t="n"/>
      <c r="AY18" s="67" t="n"/>
      <c r="AZ18" s="6" t="n"/>
      <c r="BA18" s="67" t="n"/>
      <c r="BB18" s="5" t="n"/>
      <c r="BC18" s="6" t="n"/>
      <c r="BD18" s="67" t="n"/>
      <c r="BE18" s="6" t="n"/>
      <c r="BF18" s="66" t="n"/>
      <c r="BG18" s="5" t="n"/>
      <c r="BH18" s="6" t="n"/>
      <c r="BI18" s="68" t="n"/>
      <c r="BJ18" s="5" t="n"/>
      <c r="BK18" s="42" t="n"/>
    </row>
    <row r="19" ht="75" customHeight="1">
      <c r="A19" s="61" t="inlineStr">
        <is>
          <t>IT-HOST-013</t>
        </is>
      </c>
      <c r="B19" s="6" t="n"/>
      <c r="C19" s="62" t="inlineStr">
        <is>
          <t>ホストデバイス制御</t>
        </is>
      </c>
      <c r="D19" s="5" t="n"/>
      <c r="E19" s="5" t="n"/>
      <c r="F19" s="6" t="n"/>
      <c r="G19" s="62" t="inlineStr">
        <is>
          <t>Cash Drawer</t>
        </is>
      </c>
      <c r="H19" s="5" t="n"/>
      <c r="I19" s="6" t="n"/>
      <c r="J19" s="62" t="inlineStr">
        <is>
          <t>使用終了</t>
        </is>
      </c>
      <c r="K19" s="5" t="n"/>
      <c r="L19" s="6" t="n"/>
      <c r="M19" s="62" t="inlineStr">
        <is>
          <t>Cash Drawer の使用開始が完了し、デバイス戦略からホストへ使用終了要求を送信できる状態である。</t>
        </is>
      </c>
      <c r="N19" s="5" t="n"/>
      <c r="O19" s="5" t="n"/>
      <c r="P19" s="5" t="n"/>
      <c r="Q19" s="6" t="n"/>
      <c r="R19" s="62" t="inlineStr">
        <is>
          <t>1. デバイス戦略から Cash Drawer の使用終了操作を実行する。
2. ホスト応答、ホストログ、OPOSログを確認する。
3. 実行結果ログを証跡として保存する。</t>
        </is>
      </c>
      <c r="S19" s="5" t="n"/>
      <c r="T19" s="5" t="n"/>
      <c r="U19" s="5" t="n"/>
      <c r="V19" s="5" t="n"/>
      <c r="W19" s="5" t="n"/>
      <c r="X19" s="6" t="n"/>
      <c r="Y19" s="62" t="inlineStr">
        <is>
          <t>ホスト経由で Cash Drawer の使用終了が正常終了し、デバイス使用状態が解除される。</t>
        </is>
      </c>
      <c r="Z19" s="5" t="n"/>
      <c r="AA19" s="5" t="n"/>
      <c r="AB19" s="5" t="n"/>
      <c r="AC19" s="5" t="n"/>
      <c r="AD19" s="6" t="n"/>
      <c r="AE19" s="63" t="inlineStr">
        <is>
          <t>N</t>
        </is>
      </c>
      <c r="AF19" s="6" t="n"/>
      <c r="AG19" s="63" t="n"/>
      <c r="AH19" s="6" t="n"/>
      <c r="AI19" s="63" t="n"/>
      <c r="AJ19" s="6" t="n"/>
      <c r="AK19" s="63" t="n"/>
      <c r="AL19" s="6" t="n"/>
      <c r="AM19" s="63" t="n"/>
      <c r="AN19" s="5" t="n"/>
      <c r="AO19" s="6" t="n"/>
      <c r="AP19" s="63" t="n"/>
      <c r="AQ19" s="6" t="n"/>
      <c r="AR19" s="62" t="n"/>
      <c r="AS19" s="5" t="n"/>
      <c r="AT19" s="6" t="n"/>
      <c r="AU19" s="63" t="n"/>
      <c r="AV19" s="6" t="n"/>
      <c r="AW19" s="63" t="n"/>
      <c r="AX19" s="6" t="n"/>
      <c r="AY19" s="63" t="n"/>
      <c r="AZ19" s="6" t="n"/>
      <c r="BA19" s="63" t="n"/>
      <c r="BB19" s="5" t="n"/>
      <c r="BC19" s="6" t="n"/>
      <c r="BD19" s="63" t="n"/>
      <c r="BE19" s="6" t="n"/>
      <c r="BF19" s="62" t="n"/>
      <c r="BG19" s="5" t="n"/>
      <c r="BH19" s="6" t="n"/>
      <c r="BI19" s="64" t="n"/>
      <c r="BJ19" s="5" t="n"/>
      <c r="BK19" s="42" t="n"/>
    </row>
    <row r="20" ht="90" customHeight="1">
      <c r="A20" s="65" t="inlineStr">
        <is>
          <t>IT-HOST-014</t>
        </is>
      </c>
      <c r="B20" s="6" t="n"/>
      <c r="C20" s="66" t="inlineStr">
        <is>
          <t>ホストデバイス制御</t>
        </is>
      </c>
      <c r="D20" s="5" t="n"/>
      <c r="E20" s="5" t="n"/>
      <c r="F20" s="6" t="n"/>
      <c r="G20" s="66" t="inlineStr">
        <is>
          <t>Cash Changer</t>
        </is>
      </c>
      <c r="H20" s="5" t="n"/>
      <c r="I20" s="6" t="n"/>
      <c r="J20" s="66" t="inlineStr">
        <is>
          <t>使用開始</t>
        </is>
      </c>
      <c r="K20" s="5" t="n"/>
      <c r="L20" s="6" t="n"/>
      <c r="M20" s="66" t="inlineStr">
        <is>
          <t>Cash Changer が接続済みで、デバイス戦略からホストへ釣銭機の使用開始要求を送信できる状態である。</t>
        </is>
      </c>
      <c r="N20" s="5" t="n"/>
      <c r="O20" s="5" t="n"/>
      <c r="P20" s="5" t="n"/>
      <c r="Q20" s="6" t="n"/>
      <c r="R20" s="66" t="inlineStr">
        <is>
          <t>1. デバイス戦略から Cash Changer の使用開始操作を実行する。
2. ホスト応答、ホストログ、OPOSログを確認する。
3. 実行画面またはログを証跡として保存する。</t>
        </is>
      </c>
      <c r="S20" s="5" t="n"/>
      <c r="T20" s="5" t="n"/>
      <c r="U20" s="5" t="n"/>
      <c r="V20" s="5" t="n"/>
      <c r="W20" s="5" t="n"/>
      <c r="X20" s="6" t="n"/>
      <c r="Y20" s="66" t="inlineStr">
        <is>
          <t>ホスト経由で Cash Changer の使用開始が正常終了し、以降の釣銭機操作を受け付ける状態になる。</t>
        </is>
      </c>
      <c r="Z20" s="5" t="n"/>
      <c r="AA20" s="5" t="n"/>
      <c r="AB20" s="5" t="n"/>
      <c r="AC20" s="5" t="n"/>
      <c r="AD20" s="6" t="n"/>
      <c r="AE20" s="67" t="inlineStr">
        <is>
          <t>N</t>
        </is>
      </c>
      <c r="AF20" s="6" t="n"/>
      <c r="AG20" s="67" t="n"/>
      <c r="AH20" s="6" t="n"/>
      <c r="AI20" s="67" t="n"/>
      <c r="AJ20" s="6" t="n"/>
      <c r="AK20" s="67" t="n"/>
      <c r="AL20" s="6" t="n"/>
      <c r="AM20" s="67" t="n"/>
      <c r="AN20" s="5" t="n"/>
      <c r="AO20" s="6" t="n"/>
      <c r="AP20" s="67" t="n"/>
      <c r="AQ20" s="6" t="n"/>
      <c r="AR20" s="66" t="n"/>
      <c r="AS20" s="5" t="n"/>
      <c r="AT20" s="6" t="n"/>
      <c r="AU20" s="67" t="n"/>
      <c r="AV20" s="6" t="n"/>
      <c r="AW20" s="67" t="n"/>
      <c r="AX20" s="6" t="n"/>
      <c r="AY20" s="67" t="n"/>
      <c r="AZ20" s="6" t="n"/>
      <c r="BA20" s="67" t="n"/>
      <c r="BB20" s="5" t="n"/>
      <c r="BC20" s="6" t="n"/>
      <c r="BD20" s="67" t="n"/>
      <c r="BE20" s="6" t="n"/>
      <c r="BF20" s="66" t="n"/>
      <c r="BG20" s="5" t="n"/>
      <c r="BH20" s="6" t="n"/>
      <c r="BI20" s="68" t="n"/>
      <c r="BJ20" s="5" t="n"/>
      <c r="BK20" s="42" t="n"/>
    </row>
    <row r="21" ht="90" customHeight="1">
      <c r="A21" s="61" t="inlineStr">
        <is>
          <t>IT-HOST-015</t>
        </is>
      </c>
      <c r="B21" s="6" t="n"/>
      <c r="C21" s="62" t="inlineStr">
        <is>
          <t>ホストデバイス制御</t>
        </is>
      </c>
      <c r="D21" s="5" t="n"/>
      <c r="E21" s="5" t="n"/>
      <c r="F21" s="6" t="n"/>
      <c r="G21" s="62" t="inlineStr">
        <is>
          <t>Cash Changer</t>
        </is>
      </c>
      <c r="H21" s="5" t="n"/>
      <c r="I21" s="6" t="n"/>
      <c r="J21" s="62" t="inlineStr">
        <is>
          <t>入金額取得</t>
        </is>
      </c>
      <c r="K21" s="5" t="n"/>
      <c r="L21" s="6" t="n"/>
      <c r="M21" s="62" t="inlineStr">
        <is>
          <t>Cash Changer の使用開始が完了し、入金可能状態または入金済み状態である。</t>
        </is>
      </c>
      <c r="N21" s="5" t="n"/>
      <c r="O21" s="5" t="n"/>
      <c r="P21" s="5" t="n"/>
      <c r="Q21" s="6" t="n"/>
      <c r="R21" s="62" t="inlineStr">
        <is>
          <t>1. デバイス戦略から入金額取得操作を実行する。
2. ホスト応答、返却された入金額、金種別枚数、ホストログを確認する。
3. 実機画面または管理画面、ログを証跡として保存する。</t>
        </is>
      </c>
      <c r="S21" s="5" t="n"/>
      <c r="T21" s="5" t="n"/>
      <c r="U21" s="5" t="n"/>
      <c r="V21" s="5" t="n"/>
      <c r="W21" s="5" t="n"/>
      <c r="X21" s="6" t="n"/>
      <c r="Y21" s="62" t="inlineStr">
        <is>
          <t>入金額と金種別情報が取得でき、デバイス戦略へ正常結果が返る。</t>
        </is>
      </c>
      <c r="Z21" s="5" t="n"/>
      <c r="AA21" s="5" t="n"/>
      <c r="AB21" s="5" t="n"/>
      <c r="AC21" s="5" t="n"/>
      <c r="AD21" s="6" t="n"/>
      <c r="AE21" s="63" t="inlineStr">
        <is>
          <t>N</t>
        </is>
      </c>
      <c r="AF21" s="6" t="n"/>
      <c r="AG21" s="63" t="n"/>
      <c r="AH21" s="6" t="n"/>
      <c r="AI21" s="63" t="n"/>
      <c r="AJ21" s="6" t="n"/>
      <c r="AK21" s="63" t="n"/>
      <c r="AL21" s="6" t="n"/>
      <c r="AM21" s="63" t="n"/>
      <c r="AN21" s="5" t="n"/>
      <c r="AO21" s="6" t="n"/>
      <c r="AP21" s="63" t="n"/>
      <c r="AQ21" s="6" t="n"/>
      <c r="AR21" s="62" t="n"/>
      <c r="AS21" s="5" t="n"/>
      <c r="AT21" s="6" t="n"/>
      <c r="AU21" s="63" t="n"/>
      <c r="AV21" s="6" t="n"/>
      <c r="AW21" s="63" t="n"/>
      <c r="AX21" s="6" t="n"/>
      <c r="AY21" s="63" t="n"/>
      <c r="AZ21" s="6" t="n"/>
      <c r="BA21" s="63" t="n"/>
      <c r="BB21" s="5" t="n"/>
      <c r="BC21" s="6" t="n"/>
      <c r="BD21" s="63" t="n"/>
      <c r="BE21" s="6" t="n"/>
      <c r="BF21" s="62" t="n"/>
      <c r="BG21" s="5" t="n"/>
      <c r="BH21" s="6" t="n"/>
      <c r="BI21" s="64" t="n"/>
      <c r="BJ21" s="5" t="n"/>
      <c r="BK21" s="42" t="n"/>
    </row>
    <row r="22" ht="90" customHeight="1">
      <c r="A22" s="65" t="inlineStr">
        <is>
          <t>IT-HOST-016</t>
        </is>
      </c>
      <c r="B22" s="6" t="n"/>
      <c r="C22" s="66" t="inlineStr">
        <is>
          <t>ホストデバイス制御</t>
        </is>
      </c>
      <c r="D22" s="5" t="n"/>
      <c r="E22" s="5" t="n"/>
      <c r="F22" s="6" t="n"/>
      <c r="G22" s="66" t="inlineStr">
        <is>
          <t>Cash Changer</t>
        </is>
      </c>
      <c r="H22" s="5" t="n"/>
      <c r="I22" s="6" t="n"/>
      <c r="J22" s="66" t="inlineStr">
        <is>
          <t>入金枚数取得</t>
        </is>
      </c>
      <c r="K22" s="5" t="n"/>
      <c r="L22" s="6" t="n"/>
      <c r="M22" s="66" t="inlineStr">
        <is>
          <t>Cash Changer の使用開始が完了し、入金額または入金枚数を取得できる状態である。</t>
        </is>
      </c>
      <c r="N22" s="5" t="n"/>
      <c r="O22" s="5" t="n"/>
      <c r="P22" s="5" t="n"/>
      <c r="Q22" s="6" t="n"/>
      <c r="R22" s="66" t="inlineStr">
        <is>
          <t>1. デバイス戦略から入金枚数取得操作を実行する。
2. ホスト応答、返却された金種別枚数、ホストログを確認する。
3. 実機画面または管理画面、ログを証跡として保存する。</t>
        </is>
      </c>
      <c r="S22" s="5" t="n"/>
      <c r="T22" s="5" t="n"/>
      <c r="U22" s="5" t="n"/>
      <c r="V22" s="5" t="n"/>
      <c r="W22" s="5" t="n"/>
      <c r="X22" s="6" t="n"/>
      <c r="Y22" s="66" t="inlineStr">
        <is>
          <t>金種別枚数が取得でき、デバイス戦略へ正常結果が返る。</t>
        </is>
      </c>
      <c r="Z22" s="5" t="n"/>
      <c r="AA22" s="5" t="n"/>
      <c r="AB22" s="5" t="n"/>
      <c r="AC22" s="5" t="n"/>
      <c r="AD22" s="6" t="n"/>
      <c r="AE22" s="67" t="inlineStr">
        <is>
          <t>N</t>
        </is>
      </c>
      <c r="AF22" s="6" t="n"/>
      <c r="AG22" s="67" t="n"/>
      <c r="AH22" s="6" t="n"/>
      <c r="AI22" s="67" t="n"/>
      <c r="AJ22" s="6" t="n"/>
      <c r="AK22" s="67" t="n"/>
      <c r="AL22" s="6" t="n"/>
      <c r="AM22" s="67" t="n"/>
      <c r="AN22" s="5" t="n"/>
      <c r="AO22" s="6" t="n"/>
      <c r="AP22" s="67" t="n"/>
      <c r="AQ22" s="6" t="n"/>
      <c r="AR22" s="66" t="n"/>
      <c r="AS22" s="5" t="n"/>
      <c r="AT22" s="6" t="n"/>
      <c r="AU22" s="67" t="n"/>
      <c r="AV22" s="6" t="n"/>
      <c r="AW22" s="67" t="n"/>
      <c r="AX22" s="6" t="n"/>
      <c r="AY22" s="67" t="n"/>
      <c r="AZ22" s="6" t="n"/>
      <c r="BA22" s="67" t="n"/>
      <c r="BB22" s="5" t="n"/>
      <c r="BC22" s="6" t="n"/>
      <c r="BD22" s="67" t="n"/>
      <c r="BE22" s="6" t="n"/>
      <c r="BF22" s="66" t="n"/>
      <c r="BG22" s="5" t="n"/>
      <c r="BH22" s="6" t="n"/>
      <c r="BI22" s="68" t="n"/>
      <c r="BJ22" s="5" t="n"/>
      <c r="BK22" s="42" t="n"/>
    </row>
    <row r="23" ht="90" customHeight="1">
      <c r="A23" s="61" t="inlineStr">
        <is>
          <t>IT-HOST-017</t>
        </is>
      </c>
      <c r="B23" s="6" t="n"/>
      <c r="C23" s="62" t="inlineStr">
        <is>
          <t>ホストデバイス制御</t>
        </is>
      </c>
      <c r="D23" s="5" t="n"/>
      <c r="E23" s="5" t="n"/>
      <c r="F23" s="6" t="n"/>
      <c r="G23" s="62" t="inlineStr">
        <is>
          <t>Cash Changer</t>
        </is>
      </c>
      <c r="H23" s="5" t="n"/>
      <c r="I23" s="6" t="n"/>
      <c r="J23" s="62" t="inlineStr">
        <is>
          <t>入金取消</t>
        </is>
      </c>
      <c r="K23" s="5" t="n"/>
      <c r="L23" s="6" t="n"/>
      <c r="M23" s="62" t="inlineStr">
        <is>
          <t>Cash Changer の使用開始が完了し、入金中または入金取消を確認できる状態である。</t>
        </is>
      </c>
      <c r="N23" s="5" t="n"/>
      <c r="O23" s="5" t="n"/>
      <c r="P23" s="5" t="n"/>
      <c r="Q23" s="6" t="n"/>
      <c r="R23" s="62" t="inlineStr">
        <is>
          <t>1. テスト用の入金状態を作る。
2. デバイス戦略から入金取消操作を実行する。
3. ホスト応答、返却動作、状態表示、ホストログを確認し、写真または動画を証跡として保存する。</t>
        </is>
      </c>
      <c r="S23" s="5" t="n"/>
      <c r="T23" s="5" t="n"/>
      <c r="U23" s="5" t="n"/>
      <c r="V23" s="5" t="n"/>
      <c r="W23" s="5" t="n"/>
      <c r="X23" s="6" t="n"/>
      <c r="Y23" s="62" t="inlineStr">
        <is>
          <t>入金取消または返却処理が正常に行われ、デバイス戦略へ正常結果が返る。</t>
        </is>
      </c>
      <c r="Z23" s="5" t="n"/>
      <c r="AA23" s="5" t="n"/>
      <c r="AB23" s="5" t="n"/>
      <c r="AC23" s="5" t="n"/>
      <c r="AD23" s="6" t="n"/>
      <c r="AE23" s="63" t="inlineStr">
        <is>
          <t>N</t>
        </is>
      </c>
      <c r="AF23" s="6" t="n"/>
      <c r="AG23" s="63" t="n"/>
      <c r="AH23" s="6" t="n"/>
      <c r="AI23" s="63" t="n"/>
      <c r="AJ23" s="6" t="n"/>
      <c r="AK23" s="63" t="n"/>
      <c r="AL23" s="6" t="n"/>
      <c r="AM23" s="63" t="n"/>
      <c r="AN23" s="5" t="n"/>
      <c r="AO23" s="6" t="n"/>
      <c r="AP23" s="63" t="n"/>
      <c r="AQ23" s="6" t="n"/>
      <c r="AR23" s="62" t="n"/>
      <c r="AS23" s="5" t="n"/>
      <c r="AT23" s="6" t="n"/>
      <c r="AU23" s="63" t="n"/>
      <c r="AV23" s="6" t="n"/>
      <c r="AW23" s="63" t="n"/>
      <c r="AX23" s="6" t="n"/>
      <c r="AY23" s="63" t="n"/>
      <c r="AZ23" s="6" t="n"/>
      <c r="BA23" s="63" t="n"/>
      <c r="BB23" s="5" t="n"/>
      <c r="BC23" s="6" t="n"/>
      <c r="BD23" s="63" t="n"/>
      <c r="BE23" s="6" t="n"/>
      <c r="BF23" s="62" t="n"/>
      <c r="BG23" s="5" t="n"/>
      <c r="BH23" s="6" t="n"/>
      <c r="BI23" s="64" t="n"/>
      <c r="BJ23" s="5" t="n"/>
      <c r="BK23" s="42" t="n"/>
    </row>
    <row r="24" ht="90" customHeight="1">
      <c r="A24" s="65" t="inlineStr">
        <is>
          <t>IT-HOST-018</t>
        </is>
      </c>
      <c r="B24" s="6" t="n"/>
      <c r="C24" s="66" t="inlineStr">
        <is>
          <t>ホストデバイス制御</t>
        </is>
      </c>
      <c r="D24" s="5" t="n"/>
      <c r="E24" s="5" t="n"/>
      <c r="F24" s="6" t="n"/>
      <c r="G24" s="66" t="inlineStr">
        <is>
          <t>Cash Changer</t>
        </is>
      </c>
      <c r="H24" s="5" t="n"/>
      <c r="I24" s="6" t="n"/>
      <c r="J24" s="66" t="inlineStr">
        <is>
          <t>入金開始</t>
        </is>
      </c>
      <c r="K24" s="5" t="n"/>
      <c r="L24" s="6" t="n"/>
      <c r="M24" s="66" t="inlineStr">
        <is>
          <t>Cash Changer の使用開始が完了し、投入金を受け付けられる状態である。</t>
        </is>
      </c>
      <c r="N24" s="5" t="n"/>
      <c r="O24" s="5" t="n"/>
      <c r="P24" s="5" t="n"/>
      <c r="Q24" s="6" t="n"/>
      <c r="R24" s="66" t="inlineStr">
        <is>
          <t>1. デバイス戦略から入金開始操作を実行する。
2. ホスト応答と実機が入金受付状態になることを確認する。
3. 実機画面、状態表示、ホストログを証跡として保存する。</t>
        </is>
      </c>
      <c r="S24" s="5" t="n"/>
      <c r="T24" s="5" t="n"/>
      <c r="U24" s="5" t="n"/>
      <c r="V24" s="5" t="n"/>
      <c r="W24" s="5" t="n"/>
      <c r="X24" s="6" t="n"/>
      <c r="Y24" s="66" t="inlineStr">
        <is>
          <t>Cash Changer が入金受付状態となり、デバイス戦略へ正常結果が返る。</t>
        </is>
      </c>
      <c r="Z24" s="5" t="n"/>
      <c r="AA24" s="5" t="n"/>
      <c r="AB24" s="5" t="n"/>
      <c r="AC24" s="5" t="n"/>
      <c r="AD24" s="6" t="n"/>
      <c r="AE24" s="67" t="inlineStr">
        <is>
          <t>N</t>
        </is>
      </c>
      <c r="AF24" s="6" t="n"/>
      <c r="AG24" s="67" t="n"/>
      <c r="AH24" s="6" t="n"/>
      <c r="AI24" s="67" t="n"/>
      <c r="AJ24" s="6" t="n"/>
      <c r="AK24" s="67" t="n"/>
      <c r="AL24" s="6" t="n"/>
      <c r="AM24" s="67" t="n"/>
      <c r="AN24" s="5" t="n"/>
      <c r="AO24" s="6" t="n"/>
      <c r="AP24" s="67" t="n"/>
      <c r="AQ24" s="6" t="n"/>
      <c r="AR24" s="66" t="n"/>
      <c r="AS24" s="5" t="n"/>
      <c r="AT24" s="6" t="n"/>
      <c r="AU24" s="67" t="n"/>
      <c r="AV24" s="6" t="n"/>
      <c r="AW24" s="67" t="n"/>
      <c r="AX24" s="6" t="n"/>
      <c r="AY24" s="67" t="n"/>
      <c r="AZ24" s="6" t="n"/>
      <c r="BA24" s="67" t="n"/>
      <c r="BB24" s="5" t="n"/>
      <c r="BC24" s="6" t="n"/>
      <c r="BD24" s="67" t="n"/>
      <c r="BE24" s="6" t="n"/>
      <c r="BF24" s="66" t="n"/>
      <c r="BG24" s="5" t="n"/>
      <c r="BH24" s="6" t="n"/>
      <c r="BI24" s="68" t="n"/>
      <c r="BJ24" s="5" t="n"/>
      <c r="BK24" s="42" t="n"/>
    </row>
    <row r="25" ht="90" customHeight="1">
      <c r="A25" s="61" t="inlineStr">
        <is>
          <t>IT-HOST-019</t>
        </is>
      </c>
      <c r="B25" s="6" t="n"/>
      <c r="C25" s="62" t="inlineStr">
        <is>
          <t>ホストデバイス制御</t>
        </is>
      </c>
      <c r="D25" s="5" t="n"/>
      <c r="E25" s="5" t="n"/>
      <c r="F25" s="6" t="n"/>
      <c r="G25" s="62" t="inlineStr">
        <is>
          <t>Cash Changer</t>
        </is>
      </c>
      <c r="H25" s="5" t="n"/>
      <c r="I25" s="6" t="n"/>
      <c r="J25" s="62" t="inlineStr">
        <is>
          <t>入金確定</t>
        </is>
      </c>
      <c r="K25" s="5" t="n"/>
      <c r="L25" s="6" t="n"/>
      <c r="M25" s="62" t="inlineStr">
        <is>
          <t>Cash Changer でテスト用の入金開始および投入が完了している。</t>
        </is>
      </c>
      <c r="N25" s="5" t="n"/>
      <c r="O25" s="5" t="n"/>
      <c r="P25" s="5" t="n"/>
      <c r="Q25" s="6" t="n"/>
      <c r="R25" s="62" t="inlineStr">
        <is>
          <t>1. デバイス戦略から入金確定操作を実行する。
2. ホスト応答、入金確定後の状態、金額、ホストログを確認する。
3. 実機画面または管理画面、ログを証跡として保存する。</t>
        </is>
      </c>
      <c r="S25" s="5" t="n"/>
      <c r="T25" s="5" t="n"/>
      <c r="U25" s="5" t="n"/>
      <c r="V25" s="5" t="n"/>
      <c r="W25" s="5" t="n"/>
      <c r="X25" s="6" t="n"/>
      <c r="Y25" s="62" t="inlineStr">
        <is>
          <t>入金が確定され、デバイス戦略へ正常結果が返る。</t>
        </is>
      </c>
      <c r="Z25" s="5" t="n"/>
      <c r="AA25" s="5" t="n"/>
      <c r="AB25" s="5" t="n"/>
      <c r="AC25" s="5" t="n"/>
      <c r="AD25" s="6" t="n"/>
      <c r="AE25" s="63" t="inlineStr">
        <is>
          <t>N</t>
        </is>
      </c>
      <c r="AF25" s="6" t="n"/>
      <c r="AG25" s="63" t="n"/>
      <c r="AH25" s="6" t="n"/>
      <c r="AI25" s="63" t="n"/>
      <c r="AJ25" s="6" t="n"/>
      <c r="AK25" s="63" t="n"/>
      <c r="AL25" s="6" t="n"/>
      <c r="AM25" s="63" t="n"/>
      <c r="AN25" s="5" t="n"/>
      <c r="AO25" s="6" t="n"/>
      <c r="AP25" s="63" t="n"/>
      <c r="AQ25" s="6" t="n"/>
      <c r="AR25" s="62" t="n"/>
      <c r="AS25" s="5" t="n"/>
      <c r="AT25" s="6" t="n"/>
      <c r="AU25" s="63" t="n"/>
      <c r="AV25" s="6" t="n"/>
      <c r="AW25" s="63" t="n"/>
      <c r="AX25" s="6" t="n"/>
      <c r="AY25" s="63" t="n"/>
      <c r="AZ25" s="6" t="n"/>
      <c r="BA25" s="63" t="n"/>
      <c r="BB25" s="5" t="n"/>
      <c r="BC25" s="6" t="n"/>
      <c r="BD25" s="63" t="n"/>
      <c r="BE25" s="6" t="n"/>
      <c r="BF25" s="62" t="n"/>
      <c r="BG25" s="5" t="n"/>
      <c r="BH25" s="6" t="n"/>
      <c r="BI25" s="64" t="n"/>
      <c r="BJ25" s="5" t="n"/>
      <c r="BK25" s="42" t="n"/>
    </row>
    <row r="26" ht="90" customHeight="1">
      <c r="A26" s="65" t="inlineStr">
        <is>
          <t>IT-HOST-020</t>
        </is>
      </c>
      <c r="B26" s="6" t="n"/>
      <c r="C26" s="66" t="inlineStr">
        <is>
          <t>ホストデバイス制御</t>
        </is>
      </c>
      <c r="D26" s="5" t="n"/>
      <c r="E26" s="5" t="n"/>
      <c r="F26" s="6" t="n"/>
      <c r="G26" s="66" t="inlineStr">
        <is>
          <t>Cash Changer</t>
        </is>
      </c>
      <c r="H26" s="5" t="n"/>
      <c r="I26" s="6" t="n"/>
      <c r="J26" s="66" t="inlineStr">
        <is>
          <t>入金終了</t>
        </is>
      </c>
      <c r="K26" s="5" t="n"/>
      <c r="L26" s="6" t="n"/>
      <c r="M26" s="66" t="inlineStr">
        <is>
          <t>Cash Changer で入金処理を終了できる状態である。</t>
        </is>
      </c>
      <c r="N26" s="5" t="n"/>
      <c r="O26" s="5" t="n"/>
      <c r="P26" s="5" t="n"/>
      <c r="Q26" s="6" t="n"/>
      <c r="R26" s="66" t="inlineStr">
        <is>
          <t>1. デバイス戦略から入金終了操作を実行する。
2. ホスト応答と入金受付が終了することを確認する。
3. 実機画面、状態表示、ホストログを証跡として保存する。</t>
        </is>
      </c>
      <c r="S26" s="5" t="n"/>
      <c r="T26" s="5" t="n"/>
      <c r="U26" s="5" t="n"/>
      <c r="V26" s="5" t="n"/>
      <c r="W26" s="5" t="n"/>
      <c r="X26" s="6" t="n"/>
      <c r="Y26" s="66" t="inlineStr">
        <is>
          <t>入金受付が終了し、デバイス戦略へ正常結果が返る。</t>
        </is>
      </c>
      <c r="Z26" s="5" t="n"/>
      <c r="AA26" s="5" t="n"/>
      <c r="AB26" s="5" t="n"/>
      <c r="AC26" s="5" t="n"/>
      <c r="AD26" s="6" t="n"/>
      <c r="AE26" s="67" t="inlineStr">
        <is>
          <t>N</t>
        </is>
      </c>
      <c r="AF26" s="6" t="n"/>
      <c r="AG26" s="67" t="n"/>
      <c r="AH26" s="6" t="n"/>
      <c r="AI26" s="67" t="n"/>
      <c r="AJ26" s="6" t="n"/>
      <c r="AK26" s="67" t="n"/>
      <c r="AL26" s="6" t="n"/>
      <c r="AM26" s="67" t="n"/>
      <c r="AN26" s="5" t="n"/>
      <c r="AO26" s="6" t="n"/>
      <c r="AP26" s="67" t="n"/>
      <c r="AQ26" s="6" t="n"/>
      <c r="AR26" s="66" t="n"/>
      <c r="AS26" s="5" t="n"/>
      <c r="AT26" s="6" t="n"/>
      <c r="AU26" s="67" t="n"/>
      <c r="AV26" s="6" t="n"/>
      <c r="AW26" s="67" t="n"/>
      <c r="AX26" s="6" t="n"/>
      <c r="AY26" s="67" t="n"/>
      <c r="AZ26" s="6" t="n"/>
      <c r="BA26" s="67" t="n"/>
      <c r="BB26" s="5" t="n"/>
      <c r="BC26" s="6" t="n"/>
      <c r="BD26" s="67" t="n"/>
      <c r="BE26" s="6" t="n"/>
      <c r="BF26" s="66" t="n"/>
      <c r="BG26" s="5" t="n"/>
      <c r="BH26" s="6" t="n"/>
      <c r="BI26" s="68" t="n"/>
      <c r="BJ26" s="5" t="n"/>
      <c r="BK26" s="42" t="n"/>
    </row>
    <row r="27" ht="90" customHeight="1">
      <c r="A27" s="61" t="inlineStr">
        <is>
          <t>IT-HOST-021</t>
        </is>
      </c>
      <c r="B27" s="6" t="n"/>
      <c r="C27" s="62" t="inlineStr">
        <is>
          <t>ホストデバイス制御</t>
        </is>
      </c>
      <c r="D27" s="5" t="n"/>
      <c r="E27" s="5" t="n"/>
      <c r="F27" s="6" t="n"/>
      <c r="G27" s="62" t="inlineStr">
        <is>
          <t>Cash Changer</t>
        </is>
      </c>
      <c r="H27" s="5" t="n"/>
      <c r="I27" s="6" t="n"/>
      <c r="J27" s="62" t="inlineStr">
        <is>
          <t>入金一時停止</t>
        </is>
      </c>
      <c r="K27" s="5" t="n"/>
      <c r="L27" s="6" t="n"/>
      <c r="M27" s="62" t="inlineStr">
        <is>
          <t>Cash Changer で入金受付中である。</t>
        </is>
      </c>
      <c r="N27" s="5" t="n"/>
      <c r="O27" s="5" t="n"/>
      <c r="P27" s="5" t="n"/>
      <c r="Q27" s="6" t="n"/>
      <c r="R27" s="62" t="inlineStr">
        <is>
          <t>1. デバイス戦略から入金一時停止操作を実行する。
2. ホスト応答、実機の受付状態、ホストログを確認する。
3. 状態表示またはログを証跡として保存する。</t>
        </is>
      </c>
      <c r="S27" s="5" t="n"/>
      <c r="T27" s="5" t="n"/>
      <c r="U27" s="5" t="n"/>
      <c r="V27" s="5" t="n"/>
      <c r="W27" s="5" t="n"/>
      <c r="X27" s="6" t="n"/>
      <c r="Y27" s="62" t="inlineStr">
        <is>
          <t>入金受付が一時停止され、デバイス戦略へ正常結果が返る。</t>
        </is>
      </c>
      <c r="Z27" s="5" t="n"/>
      <c r="AA27" s="5" t="n"/>
      <c r="AB27" s="5" t="n"/>
      <c r="AC27" s="5" t="n"/>
      <c r="AD27" s="6" t="n"/>
      <c r="AE27" s="63" t="inlineStr">
        <is>
          <t>N</t>
        </is>
      </c>
      <c r="AF27" s="6" t="n"/>
      <c r="AG27" s="63" t="n"/>
      <c r="AH27" s="6" t="n"/>
      <c r="AI27" s="63" t="n"/>
      <c r="AJ27" s="6" t="n"/>
      <c r="AK27" s="63" t="n"/>
      <c r="AL27" s="6" t="n"/>
      <c r="AM27" s="63" t="n"/>
      <c r="AN27" s="5" t="n"/>
      <c r="AO27" s="6" t="n"/>
      <c r="AP27" s="63" t="n"/>
      <c r="AQ27" s="6" t="n"/>
      <c r="AR27" s="62" t="n"/>
      <c r="AS27" s="5" t="n"/>
      <c r="AT27" s="6" t="n"/>
      <c r="AU27" s="63" t="n"/>
      <c r="AV27" s="6" t="n"/>
      <c r="AW27" s="63" t="n"/>
      <c r="AX27" s="6" t="n"/>
      <c r="AY27" s="63" t="n"/>
      <c r="AZ27" s="6" t="n"/>
      <c r="BA27" s="63" t="n"/>
      <c r="BB27" s="5" t="n"/>
      <c r="BC27" s="6" t="n"/>
      <c r="BD27" s="63" t="n"/>
      <c r="BE27" s="6" t="n"/>
      <c r="BF27" s="62" t="n"/>
      <c r="BG27" s="5" t="n"/>
      <c r="BH27" s="6" t="n"/>
      <c r="BI27" s="64" t="n"/>
      <c r="BJ27" s="5" t="n"/>
      <c r="BK27" s="42" t="n"/>
    </row>
    <row r="28" ht="75" customHeight="1">
      <c r="A28" s="65" t="inlineStr">
        <is>
          <t>IT-HOST-022</t>
        </is>
      </c>
      <c r="B28" s="6" t="n"/>
      <c r="C28" s="66" t="inlineStr">
        <is>
          <t>ホストデバイス制御</t>
        </is>
      </c>
      <c r="D28" s="5" t="n"/>
      <c r="E28" s="5" t="n"/>
      <c r="F28" s="6" t="n"/>
      <c r="G28" s="66" t="inlineStr">
        <is>
          <t>Cash Changer</t>
        </is>
      </c>
      <c r="H28" s="5" t="n"/>
      <c r="I28" s="6" t="n"/>
      <c r="J28" s="66" t="inlineStr">
        <is>
          <t>入金データ取得</t>
        </is>
      </c>
      <c r="K28" s="5" t="n"/>
      <c r="L28" s="6" t="n"/>
      <c r="M28" s="66" t="inlineStr">
        <is>
          <t>Cash Changer で入金操作後のデータを取得できる状態である。</t>
        </is>
      </c>
      <c r="N28" s="5" t="n"/>
      <c r="O28" s="5" t="n"/>
      <c r="P28" s="5" t="n"/>
      <c r="Q28" s="6" t="n"/>
      <c r="R28" s="66" t="inlineStr">
        <is>
          <t>1. デバイス戦略から入金データ取得操作を実行する。
2. ホスト応答、返却された入金データ、ホストログを確認する。
3. 結果ログを証跡として保存する。</t>
        </is>
      </c>
      <c r="S28" s="5" t="n"/>
      <c r="T28" s="5" t="n"/>
      <c r="U28" s="5" t="n"/>
      <c r="V28" s="5" t="n"/>
      <c r="W28" s="5" t="n"/>
      <c r="X28" s="6" t="n"/>
      <c r="Y28" s="66" t="inlineStr">
        <is>
          <t>入金データが取得でき、デバイス戦略へ正常結果が返る。</t>
        </is>
      </c>
      <c r="Z28" s="5" t="n"/>
      <c r="AA28" s="5" t="n"/>
      <c r="AB28" s="5" t="n"/>
      <c r="AC28" s="5" t="n"/>
      <c r="AD28" s="6" t="n"/>
      <c r="AE28" s="67" t="inlineStr">
        <is>
          <t>N</t>
        </is>
      </c>
      <c r="AF28" s="6" t="n"/>
      <c r="AG28" s="67" t="n"/>
      <c r="AH28" s="6" t="n"/>
      <c r="AI28" s="67" t="n"/>
      <c r="AJ28" s="6" t="n"/>
      <c r="AK28" s="67" t="n"/>
      <c r="AL28" s="6" t="n"/>
      <c r="AM28" s="67" t="n"/>
      <c r="AN28" s="5" t="n"/>
      <c r="AO28" s="6" t="n"/>
      <c r="AP28" s="67" t="n"/>
      <c r="AQ28" s="6" t="n"/>
      <c r="AR28" s="66" t="n"/>
      <c r="AS28" s="5" t="n"/>
      <c r="AT28" s="6" t="n"/>
      <c r="AU28" s="67" t="n"/>
      <c r="AV28" s="6" t="n"/>
      <c r="AW28" s="67" t="n"/>
      <c r="AX28" s="6" t="n"/>
      <c r="AY28" s="67" t="n"/>
      <c r="AZ28" s="6" t="n"/>
      <c r="BA28" s="67" t="n"/>
      <c r="BB28" s="5" t="n"/>
      <c r="BC28" s="6" t="n"/>
      <c r="BD28" s="67" t="n"/>
      <c r="BE28" s="6" t="n"/>
      <c r="BF28" s="66" t="n"/>
      <c r="BG28" s="5" t="n"/>
      <c r="BH28" s="6" t="n"/>
      <c r="BI28" s="68" t="n"/>
      <c r="BJ28" s="5" t="n"/>
      <c r="BK28" s="42" t="n"/>
    </row>
    <row r="29" ht="90" customHeight="1">
      <c r="A29" s="61" t="inlineStr">
        <is>
          <t>IT-HOST-023</t>
        </is>
      </c>
      <c r="B29" s="6" t="n"/>
      <c r="C29" s="62" t="inlineStr">
        <is>
          <t>ホストデバイス制御</t>
        </is>
      </c>
      <c r="D29" s="5" t="n"/>
      <c r="E29" s="5" t="n"/>
      <c r="F29" s="6" t="n"/>
      <c r="G29" s="62" t="inlineStr">
        <is>
          <t>Cash Changer</t>
        </is>
      </c>
      <c r="H29" s="5" t="n"/>
      <c r="I29" s="6" t="n"/>
      <c r="J29" s="62" t="inlineStr">
        <is>
          <t>現金在高取得</t>
        </is>
      </c>
      <c r="K29" s="5" t="n"/>
      <c r="L29" s="6" t="n"/>
      <c r="M29" s="62" t="inlineStr">
        <is>
          <t>Cash Changer の使用開始が完了している。</t>
        </is>
      </c>
      <c r="N29" s="5" t="n"/>
      <c r="O29" s="5" t="n"/>
      <c r="P29" s="5" t="n"/>
      <c r="Q29" s="6" t="n"/>
      <c r="R29" s="62" t="inlineStr">
        <is>
          <t>1. デバイス戦略から現金在高取得操作を実行する。
2. ホスト応答、返却された金種別在高、ホストログを確認する。
3. 管理画面またはログを証跡として保存する。</t>
        </is>
      </c>
      <c r="S29" s="5" t="n"/>
      <c r="T29" s="5" t="n"/>
      <c r="U29" s="5" t="n"/>
      <c r="V29" s="5" t="n"/>
      <c r="W29" s="5" t="n"/>
      <c r="X29" s="6" t="n"/>
      <c r="Y29" s="62" t="inlineStr">
        <is>
          <t>現金在高情報が取得でき、デバイス戦略へ正常結果が返る。</t>
        </is>
      </c>
      <c r="Z29" s="5" t="n"/>
      <c r="AA29" s="5" t="n"/>
      <c r="AB29" s="5" t="n"/>
      <c r="AC29" s="5" t="n"/>
      <c r="AD29" s="6" t="n"/>
      <c r="AE29" s="63" t="inlineStr">
        <is>
          <t>N</t>
        </is>
      </c>
      <c r="AF29" s="6" t="n"/>
      <c r="AG29" s="63" t="n"/>
      <c r="AH29" s="6" t="n"/>
      <c r="AI29" s="63" t="n"/>
      <c r="AJ29" s="6" t="n"/>
      <c r="AK29" s="63" t="n"/>
      <c r="AL29" s="6" t="n"/>
      <c r="AM29" s="63" t="n"/>
      <c r="AN29" s="5" t="n"/>
      <c r="AO29" s="6" t="n"/>
      <c r="AP29" s="63" t="n"/>
      <c r="AQ29" s="6" t="n"/>
      <c r="AR29" s="62" t="n"/>
      <c r="AS29" s="5" t="n"/>
      <c r="AT29" s="6" t="n"/>
      <c r="AU29" s="63" t="n"/>
      <c r="AV29" s="6" t="n"/>
      <c r="AW29" s="63" t="n"/>
      <c r="AX29" s="6" t="n"/>
      <c r="AY29" s="63" t="n"/>
      <c r="AZ29" s="6" t="n"/>
      <c r="BA29" s="63" t="n"/>
      <c r="BB29" s="5" t="n"/>
      <c r="BC29" s="6" t="n"/>
      <c r="BD29" s="63" t="n"/>
      <c r="BE29" s="6" t="n"/>
      <c r="BF29" s="62" t="n"/>
      <c r="BG29" s="5" t="n"/>
      <c r="BH29" s="6" t="n"/>
      <c r="BI29" s="64" t="n"/>
      <c r="BJ29" s="5" t="n"/>
      <c r="BK29" s="42" t="n"/>
    </row>
    <row r="30" ht="90" customHeight="1">
      <c r="A30" s="65" t="inlineStr">
        <is>
          <t>IT-HOST-024</t>
        </is>
      </c>
      <c r="B30" s="6" t="n"/>
      <c r="C30" s="66" t="inlineStr">
        <is>
          <t>ホストデバイス制御</t>
        </is>
      </c>
      <c r="D30" s="5" t="n"/>
      <c r="E30" s="5" t="n"/>
      <c r="F30" s="6" t="n"/>
      <c r="G30" s="66" t="inlineStr">
        <is>
          <t>Cash Changer</t>
        </is>
      </c>
      <c r="H30" s="5" t="n"/>
      <c r="I30" s="6" t="n"/>
      <c r="J30" s="66" t="inlineStr">
        <is>
          <t>状態照会</t>
        </is>
      </c>
      <c r="K30" s="5" t="n"/>
      <c r="L30" s="6" t="n"/>
      <c r="M30" s="66" t="inlineStr">
        <is>
          <t>Cash Changer の使用開始が完了している。</t>
        </is>
      </c>
      <c r="N30" s="5" t="n"/>
      <c r="O30" s="5" t="n"/>
      <c r="P30" s="5" t="n"/>
      <c r="Q30" s="6" t="n"/>
      <c r="R30" s="66" t="inlineStr">
        <is>
          <t>1. デバイス戦略から状態照会操作を実行する。
2. ホスト応答、返却された状態値、実機状態、ホストログを確認する。
3. 状態表示またはログを証跡として保存する。</t>
        </is>
      </c>
      <c r="S30" s="5" t="n"/>
      <c r="T30" s="5" t="n"/>
      <c r="U30" s="5" t="n"/>
      <c r="V30" s="5" t="n"/>
      <c r="W30" s="5" t="n"/>
      <c r="X30" s="6" t="n"/>
      <c r="Y30" s="66" t="inlineStr">
        <is>
          <t>実機状態に対応する状態値が返却され、デバイス戦略へ正常結果が返る。</t>
        </is>
      </c>
      <c r="Z30" s="5" t="n"/>
      <c r="AA30" s="5" t="n"/>
      <c r="AB30" s="5" t="n"/>
      <c r="AC30" s="5" t="n"/>
      <c r="AD30" s="6" t="n"/>
      <c r="AE30" s="67" t="inlineStr">
        <is>
          <t>N</t>
        </is>
      </c>
      <c r="AF30" s="6" t="n"/>
      <c r="AG30" s="67" t="n"/>
      <c r="AH30" s="6" t="n"/>
      <c r="AI30" s="67" t="n"/>
      <c r="AJ30" s="6" t="n"/>
      <c r="AK30" s="67" t="n"/>
      <c r="AL30" s="6" t="n"/>
      <c r="AM30" s="67" t="n"/>
      <c r="AN30" s="5" t="n"/>
      <c r="AO30" s="6" t="n"/>
      <c r="AP30" s="67" t="n"/>
      <c r="AQ30" s="6" t="n"/>
      <c r="AR30" s="66" t="n"/>
      <c r="AS30" s="5" t="n"/>
      <c r="AT30" s="6" t="n"/>
      <c r="AU30" s="67" t="n"/>
      <c r="AV30" s="6" t="n"/>
      <c r="AW30" s="67" t="n"/>
      <c r="AX30" s="6" t="n"/>
      <c r="AY30" s="67" t="n"/>
      <c r="AZ30" s="6" t="n"/>
      <c r="BA30" s="67" t="n"/>
      <c r="BB30" s="5" t="n"/>
      <c r="BC30" s="6" t="n"/>
      <c r="BD30" s="67" t="n"/>
      <c r="BE30" s="6" t="n"/>
      <c r="BF30" s="66" t="n"/>
      <c r="BG30" s="5" t="n"/>
      <c r="BH30" s="6" t="n"/>
      <c r="BI30" s="68" t="n"/>
      <c r="BJ30" s="5" t="n"/>
      <c r="BK30" s="42" t="n"/>
    </row>
    <row r="31" ht="90" customHeight="1">
      <c r="A31" s="61" t="inlineStr">
        <is>
          <t>IT-HOST-025</t>
        </is>
      </c>
      <c r="B31" s="6" t="n"/>
      <c r="C31" s="62" t="inlineStr">
        <is>
          <t>ホストデバイス制御</t>
        </is>
      </c>
      <c r="D31" s="5" t="n"/>
      <c r="E31" s="5" t="n"/>
      <c r="F31" s="6" t="n"/>
      <c r="G31" s="62" t="inlineStr">
        <is>
          <t>Cash Changer</t>
        </is>
      </c>
      <c r="H31" s="5" t="n"/>
      <c r="I31" s="6" t="n"/>
      <c r="J31" s="62" t="inlineStr">
        <is>
          <t>硬貨部状態取得</t>
        </is>
      </c>
      <c r="K31" s="5" t="n"/>
      <c r="L31" s="6" t="n"/>
      <c r="M31" s="62" t="inlineStr">
        <is>
          <t>Cash Changer の使用開始が完了している。</t>
        </is>
      </c>
      <c r="N31" s="5" t="n"/>
      <c r="O31" s="5" t="n"/>
      <c r="P31" s="5" t="n"/>
      <c r="Q31" s="6" t="n"/>
      <c r="R31" s="62" t="inlineStr">
        <is>
          <t>1. デバイス戦略から硬貨部状態取得操作を実行する。
2. ホスト応答、返却された硬貨部状態、実機状態を確認する。
3. 状態表示またはログを証跡として保存する。</t>
        </is>
      </c>
      <c r="S31" s="5" t="n"/>
      <c r="T31" s="5" t="n"/>
      <c r="U31" s="5" t="n"/>
      <c r="V31" s="5" t="n"/>
      <c r="W31" s="5" t="n"/>
      <c r="X31" s="6" t="n"/>
      <c r="Y31" s="62" t="inlineStr">
        <is>
          <t>硬貨部状態が取得でき、デバイス戦略へ正常結果が返る。</t>
        </is>
      </c>
      <c r="Z31" s="5" t="n"/>
      <c r="AA31" s="5" t="n"/>
      <c r="AB31" s="5" t="n"/>
      <c r="AC31" s="5" t="n"/>
      <c r="AD31" s="6" t="n"/>
      <c r="AE31" s="63" t="inlineStr">
        <is>
          <t>N</t>
        </is>
      </c>
      <c r="AF31" s="6" t="n"/>
      <c r="AG31" s="63" t="n"/>
      <c r="AH31" s="6" t="n"/>
      <c r="AI31" s="63" t="n"/>
      <c r="AJ31" s="6" t="n"/>
      <c r="AK31" s="63" t="n"/>
      <c r="AL31" s="6" t="n"/>
      <c r="AM31" s="63" t="n"/>
      <c r="AN31" s="5" t="n"/>
      <c r="AO31" s="6" t="n"/>
      <c r="AP31" s="63" t="n"/>
      <c r="AQ31" s="6" t="n"/>
      <c r="AR31" s="62" t="n"/>
      <c r="AS31" s="5" t="n"/>
      <c r="AT31" s="6" t="n"/>
      <c r="AU31" s="63" t="n"/>
      <c r="AV31" s="6" t="n"/>
      <c r="AW31" s="63" t="n"/>
      <c r="AX31" s="6" t="n"/>
      <c r="AY31" s="63" t="n"/>
      <c r="AZ31" s="6" t="n"/>
      <c r="BA31" s="63" t="n"/>
      <c r="BB31" s="5" t="n"/>
      <c r="BC31" s="6" t="n"/>
      <c r="BD31" s="63" t="n"/>
      <c r="BE31" s="6" t="n"/>
      <c r="BF31" s="62" t="n"/>
      <c r="BG31" s="5" t="n"/>
      <c r="BH31" s="6" t="n"/>
      <c r="BI31" s="64" t="n"/>
      <c r="BJ31" s="5" t="n"/>
      <c r="BK31" s="42" t="n"/>
    </row>
    <row r="32" ht="90" customHeight="1">
      <c r="A32" s="65" t="inlineStr">
        <is>
          <t>IT-HOST-026</t>
        </is>
      </c>
      <c r="B32" s="6" t="n"/>
      <c r="C32" s="66" t="inlineStr">
        <is>
          <t>ホストデバイス制御</t>
        </is>
      </c>
      <c r="D32" s="5" t="n"/>
      <c r="E32" s="5" t="n"/>
      <c r="F32" s="6" t="n"/>
      <c r="G32" s="66" t="inlineStr">
        <is>
          <t>Cash Changer</t>
        </is>
      </c>
      <c r="H32" s="5" t="n"/>
      <c r="I32" s="6" t="n"/>
      <c r="J32" s="66" t="inlineStr">
        <is>
          <t>棒金ドロアオープン</t>
        </is>
      </c>
      <c r="K32" s="5" t="n"/>
      <c r="L32" s="6" t="n"/>
      <c r="M32" s="66" t="inlineStr">
        <is>
          <t>Cash Changer の使用開始が完了し、棒金ドロアを安全に開けられる状態である。</t>
        </is>
      </c>
      <c r="N32" s="5" t="n"/>
      <c r="O32" s="5" t="n"/>
      <c r="P32" s="5" t="n"/>
      <c r="Q32" s="6" t="n"/>
      <c r="R32" s="66" t="inlineStr">
        <is>
          <t>1. デバイス戦略から棒金ドロアオープン操作を実行する。
2. ホスト応答、実機の開閉状態、ホストログを確認する。
3. 写真または動画、ログを証跡として保存する。</t>
        </is>
      </c>
      <c r="S32" s="5" t="n"/>
      <c r="T32" s="5" t="n"/>
      <c r="U32" s="5" t="n"/>
      <c r="V32" s="5" t="n"/>
      <c r="W32" s="5" t="n"/>
      <c r="X32" s="6" t="n"/>
      <c r="Y32" s="66" t="inlineStr">
        <is>
          <t>棒金ドロアが開き、デバイス戦略へ正常結果が返る。</t>
        </is>
      </c>
      <c r="Z32" s="5" t="n"/>
      <c r="AA32" s="5" t="n"/>
      <c r="AB32" s="5" t="n"/>
      <c r="AC32" s="5" t="n"/>
      <c r="AD32" s="6" t="n"/>
      <c r="AE32" s="67" t="inlineStr">
        <is>
          <t>N</t>
        </is>
      </c>
      <c r="AF32" s="6" t="n"/>
      <c r="AG32" s="67" t="n"/>
      <c r="AH32" s="6" t="n"/>
      <c r="AI32" s="67" t="n"/>
      <c r="AJ32" s="6" t="n"/>
      <c r="AK32" s="67" t="n"/>
      <c r="AL32" s="6" t="n"/>
      <c r="AM32" s="67" t="n"/>
      <c r="AN32" s="5" t="n"/>
      <c r="AO32" s="6" t="n"/>
      <c r="AP32" s="67" t="n"/>
      <c r="AQ32" s="6" t="n"/>
      <c r="AR32" s="66" t="n"/>
      <c r="AS32" s="5" t="n"/>
      <c r="AT32" s="6" t="n"/>
      <c r="AU32" s="67" t="n"/>
      <c r="AV32" s="6" t="n"/>
      <c r="AW32" s="67" t="n"/>
      <c r="AX32" s="6" t="n"/>
      <c r="AY32" s="67" t="n"/>
      <c r="AZ32" s="6" t="n"/>
      <c r="BA32" s="67" t="n"/>
      <c r="BB32" s="5" t="n"/>
      <c r="BC32" s="6" t="n"/>
      <c r="BD32" s="67" t="n"/>
      <c r="BE32" s="6" t="n"/>
      <c r="BF32" s="66" t="n"/>
      <c r="BG32" s="5" t="n"/>
      <c r="BH32" s="6" t="n"/>
      <c r="BI32" s="68" t="n"/>
      <c r="BJ32" s="5" t="n"/>
      <c r="BK32" s="42" t="n"/>
    </row>
    <row r="33" ht="90" customHeight="1">
      <c r="A33" s="61" t="inlineStr">
        <is>
          <t>IT-HOST-027</t>
        </is>
      </c>
      <c r="B33" s="6" t="n"/>
      <c r="C33" s="62" t="inlineStr">
        <is>
          <t>ホストデバイス制御</t>
        </is>
      </c>
      <c r="D33" s="5" t="n"/>
      <c r="E33" s="5" t="n"/>
      <c r="F33" s="6" t="n"/>
      <c r="G33" s="62" t="inlineStr">
        <is>
          <t>Cash Changer</t>
        </is>
      </c>
      <c r="H33" s="5" t="n"/>
      <c r="I33" s="6" t="n"/>
      <c r="J33" s="62" t="inlineStr">
        <is>
          <t>小計取得</t>
        </is>
      </c>
      <c r="K33" s="5" t="n"/>
      <c r="L33" s="6" t="n"/>
      <c r="M33" s="62" t="inlineStr">
        <is>
          <t>Cash Changer の使用開始が完了し、入金額を取得できる状態である。</t>
        </is>
      </c>
      <c r="N33" s="5" t="n"/>
      <c r="O33" s="5" t="n"/>
      <c r="P33" s="5" t="n"/>
      <c r="Q33" s="6" t="n"/>
      <c r="R33" s="62" t="inlineStr">
        <is>
          <t>1. デバイス戦略から小計取得操作を実行する。
2. ホスト応答、返却された金額、ホストログを確認する。
3. 実機画面または管理画面、ログを証跡として保存する。</t>
        </is>
      </c>
      <c r="S33" s="5" t="n"/>
      <c r="T33" s="5" t="n"/>
      <c r="U33" s="5" t="n"/>
      <c r="V33" s="5" t="n"/>
      <c r="W33" s="5" t="n"/>
      <c r="X33" s="6" t="n"/>
      <c r="Y33" s="62" t="inlineStr">
        <is>
          <t>小計金額が取得でき、デバイス戦略へ正常結果が返る。</t>
        </is>
      </c>
      <c r="Z33" s="5" t="n"/>
      <c r="AA33" s="5" t="n"/>
      <c r="AB33" s="5" t="n"/>
      <c r="AC33" s="5" t="n"/>
      <c r="AD33" s="6" t="n"/>
      <c r="AE33" s="63" t="inlineStr">
        <is>
          <t>N</t>
        </is>
      </c>
      <c r="AF33" s="6" t="n"/>
      <c r="AG33" s="63" t="n"/>
      <c r="AH33" s="6" t="n"/>
      <c r="AI33" s="63" t="n"/>
      <c r="AJ33" s="6" t="n"/>
      <c r="AK33" s="63" t="n"/>
      <c r="AL33" s="6" t="n"/>
      <c r="AM33" s="63" t="n"/>
      <c r="AN33" s="5" t="n"/>
      <c r="AO33" s="6" t="n"/>
      <c r="AP33" s="63" t="n"/>
      <c r="AQ33" s="6" t="n"/>
      <c r="AR33" s="62" t="n"/>
      <c r="AS33" s="5" t="n"/>
      <c r="AT33" s="6" t="n"/>
      <c r="AU33" s="63" t="n"/>
      <c r="AV33" s="6" t="n"/>
      <c r="AW33" s="63" t="n"/>
      <c r="AX33" s="6" t="n"/>
      <c r="AY33" s="63" t="n"/>
      <c r="AZ33" s="6" t="n"/>
      <c r="BA33" s="63" t="n"/>
      <c r="BB33" s="5" t="n"/>
      <c r="BC33" s="6" t="n"/>
      <c r="BD33" s="63" t="n"/>
      <c r="BE33" s="6" t="n"/>
      <c r="BF33" s="62" t="n"/>
      <c r="BG33" s="5" t="n"/>
      <c r="BH33" s="6" t="n"/>
      <c r="BI33" s="64" t="n"/>
      <c r="BJ33" s="5" t="n"/>
      <c r="BK33" s="42" t="n"/>
    </row>
    <row r="34" ht="90" customHeight="1">
      <c r="A34" s="65" t="inlineStr">
        <is>
          <t>IT-HOST-028</t>
        </is>
      </c>
      <c r="B34" s="6" t="n"/>
      <c r="C34" s="66" t="inlineStr">
        <is>
          <t>ホストデバイス制御</t>
        </is>
      </c>
      <c r="D34" s="5" t="n"/>
      <c r="E34" s="5" t="n"/>
      <c r="F34" s="6" t="n"/>
      <c r="G34" s="66" t="inlineStr">
        <is>
          <t>Cash Changer</t>
        </is>
      </c>
      <c r="H34" s="5" t="n"/>
      <c r="I34" s="6" t="n"/>
      <c r="J34" s="66" t="inlineStr">
        <is>
          <t>釣銭払出</t>
        </is>
      </c>
      <c r="K34" s="5" t="n"/>
      <c r="L34" s="6" t="n"/>
      <c r="M34" s="66" t="inlineStr">
        <is>
          <t>Cash Changer の使用開始が完了し、払出可能な現金在高がある。払出金額は現場責任者が承認したテスト金額を使用する。</t>
        </is>
      </c>
      <c r="N34" s="5" t="n"/>
      <c r="O34" s="5" t="n"/>
      <c r="P34" s="5" t="n"/>
      <c r="Q34" s="6" t="n"/>
      <c r="R34" s="66" t="inlineStr">
        <is>
          <t>1. テスト払出金額を確認する。
2. デバイス戦略から釣銭払出操作を実行する。
3. ホスト応答、払出金額、実機動作、現金在高、ホストログを確認し、写真または動画を証跡として保存する。</t>
        </is>
      </c>
      <c r="S34" s="5" t="n"/>
      <c r="T34" s="5" t="n"/>
      <c r="U34" s="5" t="n"/>
      <c r="V34" s="5" t="n"/>
      <c r="W34" s="5" t="n"/>
      <c r="X34" s="6" t="n"/>
      <c r="Y34" s="66" t="inlineStr">
        <is>
          <t>指定金額が払出され、デバイス戦略へ正常結果が返る。払出後の現金在高が実機状態と一致する。</t>
        </is>
      </c>
      <c r="Z34" s="5" t="n"/>
      <c r="AA34" s="5" t="n"/>
      <c r="AB34" s="5" t="n"/>
      <c r="AC34" s="5" t="n"/>
      <c r="AD34" s="6" t="n"/>
      <c r="AE34" s="67" t="inlineStr">
        <is>
          <t>N</t>
        </is>
      </c>
      <c r="AF34" s="6" t="n"/>
      <c r="AG34" s="67" t="n"/>
      <c r="AH34" s="6" t="n"/>
      <c r="AI34" s="67" t="n"/>
      <c r="AJ34" s="6" t="n"/>
      <c r="AK34" s="67" t="n"/>
      <c r="AL34" s="6" t="n"/>
      <c r="AM34" s="67" t="n"/>
      <c r="AN34" s="5" t="n"/>
      <c r="AO34" s="6" t="n"/>
      <c r="AP34" s="67" t="n"/>
      <c r="AQ34" s="6" t="n"/>
      <c r="AR34" s="66" t="n"/>
      <c r="AS34" s="5" t="n"/>
      <c r="AT34" s="6" t="n"/>
      <c r="AU34" s="67" t="n"/>
      <c r="AV34" s="6" t="n"/>
      <c r="AW34" s="67" t="n"/>
      <c r="AX34" s="6" t="n"/>
      <c r="AY34" s="67" t="n"/>
      <c r="AZ34" s="6" t="n"/>
      <c r="BA34" s="67" t="n"/>
      <c r="BB34" s="5" t="n"/>
      <c r="BC34" s="6" t="n"/>
      <c r="BD34" s="67" t="n"/>
      <c r="BE34" s="6" t="n"/>
      <c r="BF34" s="66" t="n"/>
      <c r="BG34" s="5" t="n"/>
      <c r="BH34" s="6" t="n"/>
      <c r="BI34" s="68" t="n"/>
      <c r="BJ34" s="5" t="n"/>
      <c r="BK34" s="42" t="n"/>
    </row>
    <row r="35" ht="90" customHeight="1">
      <c r="A35" s="61" t="inlineStr">
        <is>
          <t>IT-HOST-029</t>
        </is>
      </c>
      <c r="B35" s="6" t="n"/>
      <c r="C35" s="62" t="inlineStr">
        <is>
          <t>ホストデバイス制御</t>
        </is>
      </c>
      <c r="D35" s="5" t="n"/>
      <c r="E35" s="5" t="n"/>
      <c r="F35" s="6" t="n"/>
      <c r="G35" s="62" t="inlineStr">
        <is>
          <t>Cash Changer</t>
        </is>
      </c>
      <c r="H35" s="5" t="n"/>
      <c r="I35" s="6" t="n"/>
      <c r="J35" s="62" t="inlineStr">
        <is>
          <t>エラーガイダンス取得</t>
        </is>
      </c>
      <c r="K35" s="5" t="n"/>
      <c r="L35" s="6" t="n"/>
      <c r="M35" s="62" t="inlineStr">
        <is>
          <t>Cash Changer の使用開始が完了している。エラー状態を発生させる場合は現場責任者の承認を得る。</t>
        </is>
      </c>
      <c r="N35" s="5" t="n"/>
      <c r="O35" s="5" t="n"/>
      <c r="P35" s="5" t="n"/>
      <c r="Q35" s="6" t="n"/>
      <c r="R35" s="62" t="inlineStr">
        <is>
          <t>1. デバイス戦略からエラーガイダンス取得操作を実行する。
2. ホスト応答、返却されたガイダンス情報、ホストログを確認する。
3. 実機表示またはログを証跡として保存する。</t>
        </is>
      </c>
      <c r="S35" s="5" t="n"/>
      <c r="T35" s="5" t="n"/>
      <c r="U35" s="5" t="n"/>
      <c r="V35" s="5" t="n"/>
      <c r="W35" s="5" t="n"/>
      <c r="X35" s="6" t="n"/>
      <c r="Y35" s="62" t="inlineStr">
        <is>
          <t>現在状態に応じたガイダンス情報が取得でき、デバイス戦略へ正常結果が返る。</t>
        </is>
      </c>
      <c r="Z35" s="5" t="n"/>
      <c r="AA35" s="5" t="n"/>
      <c r="AB35" s="5" t="n"/>
      <c r="AC35" s="5" t="n"/>
      <c r="AD35" s="6" t="n"/>
      <c r="AE35" s="63" t="inlineStr">
        <is>
          <t>N</t>
        </is>
      </c>
      <c r="AF35" s="6" t="n"/>
      <c r="AG35" s="63" t="n"/>
      <c r="AH35" s="6" t="n"/>
      <c r="AI35" s="63" t="n"/>
      <c r="AJ35" s="6" t="n"/>
      <c r="AK35" s="63" t="n"/>
      <c r="AL35" s="6" t="n"/>
      <c r="AM35" s="63" t="n"/>
      <c r="AN35" s="5" t="n"/>
      <c r="AO35" s="6" t="n"/>
      <c r="AP35" s="63" t="n"/>
      <c r="AQ35" s="6" t="n"/>
      <c r="AR35" s="62" t="n"/>
      <c r="AS35" s="5" t="n"/>
      <c r="AT35" s="6" t="n"/>
      <c r="AU35" s="63" t="n"/>
      <c r="AV35" s="6" t="n"/>
      <c r="AW35" s="63" t="n"/>
      <c r="AX35" s="6" t="n"/>
      <c r="AY35" s="63" t="n"/>
      <c r="AZ35" s="6" t="n"/>
      <c r="BA35" s="63" t="n"/>
      <c r="BB35" s="5" t="n"/>
      <c r="BC35" s="6" t="n"/>
      <c r="BD35" s="63" t="n"/>
      <c r="BE35" s="6" t="n"/>
      <c r="BF35" s="62" t="n"/>
      <c r="BG35" s="5" t="n"/>
      <c r="BH35" s="6" t="n"/>
      <c r="BI35" s="64" t="n"/>
      <c r="BJ35" s="5" t="n"/>
      <c r="BK35" s="42" t="n"/>
    </row>
    <row r="36" ht="90" customHeight="1">
      <c r="A36" s="65" t="inlineStr">
        <is>
          <t>IT-HOST-030</t>
        </is>
      </c>
      <c r="B36" s="6" t="n"/>
      <c r="C36" s="66" t="inlineStr">
        <is>
          <t>ホストデバイス制御</t>
        </is>
      </c>
      <c r="D36" s="5" t="n"/>
      <c r="E36" s="5" t="n"/>
      <c r="F36" s="6" t="n"/>
      <c r="G36" s="66" t="inlineStr">
        <is>
          <t>Cash Changer</t>
        </is>
      </c>
      <c r="H36" s="5" t="n"/>
      <c r="I36" s="6" t="n"/>
      <c r="J36" s="66" t="inlineStr">
        <is>
          <t>精査データ取得</t>
        </is>
      </c>
      <c r="K36" s="5" t="n"/>
      <c r="L36" s="6" t="n"/>
      <c r="M36" s="66" t="inlineStr">
        <is>
          <t>Cash Changer の使用開始が完了し、精査操作を実施できる状態である。</t>
        </is>
      </c>
      <c r="N36" s="5" t="n"/>
      <c r="O36" s="5" t="n"/>
      <c r="P36" s="5" t="n"/>
      <c r="Q36" s="6" t="n"/>
      <c r="R36" s="66" t="inlineStr">
        <is>
          <t>1. デバイス戦略から精査データ取得操作を実行する。
2. ホスト応答、返却された収納庫・回収ボックス別データ、ホストログを確認する。
3. 管理画面またはログを証跡として保存する。</t>
        </is>
      </c>
      <c r="S36" s="5" t="n"/>
      <c r="T36" s="5" t="n"/>
      <c r="U36" s="5" t="n"/>
      <c r="V36" s="5" t="n"/>
      <c r="W36" s="5" t="n"/>
      <c r="X36" s="6" t="n"/>
      <c r="Y36" s="66" t="inlineStr">
        <is>
          <t>精査データが取得でき、デバイス戦略へ正常結果が返る。</t>
        </is>
      </c>
      <c r="Z36" s="5" t="n"/>
      <c r="AA36" s="5" t="n"/>
      <c r="AB36" s="5" t="n"/>
      <c r="AC36" s="5" t="n"/>
      <c r="AD36" s="6" t="n"/>
      <c r="AE36" s="67" t="inlineStr">
        <is>
          <t>N</t>
        </is>
      </c>
      <c r="AF36" s="6" t="n"/>
      <c r="AG36" s="67" t="n"/>
      <c r="AH36" s="6" t="n"/>
      <c r="AI36" s="67" t="n"/>
      <c r="AJ36" s="6" t="n"/>
      <c r="AK36" s="67" t="n"/>
      <c r="AL36" s="6" t="n"/>
      <c r="AM36" s="67" t="n"/>
      <c r="AN36" s="5" t="n"/>
      <c r="AO36" s="6" t="n"/>
      <c r="AP36" s="67" t="n"/>
      <c r="AQ36" s="6" t="n"/>
      <c r="AR36" s="66" t="n"/>
      <c r="AS36" s="5" t="n"/>
      <c r="AT36" s="6" t="n"/>
      <c r="AU36" s="67" t="n"/>
      <c r="AV36" s="6" t="n"/>
      <c r="AW36" s="67" t="n"/>
      <c r="AX36" s="6" t="n"/>
      <c r="AY36" s="67" t="n"/>
      <c r="AZ36" s="6" t="n"/>
      <c r="BA36" s="67" t="n"/>
      <c r="BB36" s="5" t="n"/>
      <c r="BC36" s="6" t="n"/>
      <c r="BD36" s="67" t="n"/>
      <c r="BE36" s="6" t="n"/>
      <c r="BF36" s="66" t="n"/>
      <c r="BG36" s="5" t="n"/>
      <c r="BH36" s="6" t="n"/>
      <c r="BI36" s="68" t="n"/>
      <c r="BJ36" s="5" t="n"/>
      <c r="BK36" s="42" t="n"/>
    </row>
    <row r="37" ht="75" customHeight="1">
      <c r="A37" s="61" t="inlineStr">
        <is>
          <t>IT-HOST-031</t>
        </is>
      </c>
      <c r="B37" s="6" t="n"/>
      <c r="C37" s="62" t="inlineStr">
        <is>
          <t>ホストデバイス制御</t>
        </is>
      </c>
      <c r="D37" s="5" t="n"/>
      <c r="E37" s="5" t="n"/>
      <c r="F37" s="6" t="n"/>
      <c r="G37" s="62" t="inlineStr">
        <is>
          <t>Cash Changer</t>
        </is>
      </c>
      <c r="H37" s="5" t="n"/>
      <c r="I37" s="6" t="n"/>
      <c r="J37" s="62" t="inlineStr">
        <is>
          <t>使用終了</t>
        </is>
      </c>
      <c r="K37" s="5" t="n"/>
      <c r="L37" s="6" t="n"/>
      <c r="M37" s="62" t="inlineStr">
        <is>
          <t>Cash Changer の使用開始が完了し、デバイス戦略からホストへ使用終了要求を送信できる状態である。</t>
        </is>
      </c>
      <c r="N37" s="5" t="n"/>
      <c r="O37" s="5" t="n"/>
      <c r="P37" s="5" t="n"/>
      <c r="Q37" s="6" t="n"/>
      <c r="R37" s="62" t="inlineStr">
        <is>
          <t>1. デバイス戦略から Cash Changer の使用終了操作を実行する。
2. ホスト応答、ホストログ、OPOSログを確認する。
3. 実行結果ログを証跡として保存する。</t>
        </is>
      </c>
      <c r="S37" s="5" t="n"/>
      <c r="T37" s="5" t="n"/>
      <c r="U37" s="5" t="n"/>
      <c r="V37" s="5" t="n"/>
      <c r="W37" s="5" t="n"/>
      <c r="X37" s="6" t="n"/>
      <c r="Y37" s="62" t="inlineStr">
        <is>
          <t>ホスト経由で Cash Changer の使用終了が正常終了し、デバイス使用状態が解除される。</t>
        </is>
      </c>
      <c r="Z37" s="5" t="n"/>
      <c r="AA37" s="5" t="n"/>
      <c r="AB37" s="5" t="n"/>
      <c r="AC37" s="5" t="n"/>
      <c r="AD37" s="6" t="n"/>
      <c r="AE37" s="63" t="inlineStr">
        <is>
          <t>N</t>
        </is>
      </c>
      <c r="AF37" s="6" t="n"/>
      <c r="AG37" s="63" t="n"/>
      <c r="AH37" s="6" t="n"/>
      <c r="AI37" s="63" t="n"/>
      <c r="AJ37" s="6" t="n"/>
      <c r="AK37" s="63" t="n"/>
      <c r="AL37" s="6" t="n"/>
      <c r="AM37" s="63" t="n"/>
      <c r="AN37" s="5" t="n"/>
      <c r="AO37" s="6" t="n"/>
      <c r="AP37" s="63" t="n"/>
      <c r="AQ37" s="6" t="n"/>
      <c r="AR37" s="62" t="n"/>
      <c r="AS37" s="5" t="n"/>
      <c r="AT37" s="6" t="n"/>
      <c r="AU37" s="63" t="n"/>
      <c r="AV37" s="6" t="n"/>
      <c r="AW37" s="63" t="n"/>
      <c r="AX37" s="6" t="n"/>
      <c r="AY37" s="63" t="n"/>
      <c r="AZ37" s="6" t="n"/>
      <c r="BA37" s="63" t="n"/>
      <c r="BB37" s="5" t="n"/>
      <c r="BC37" s="6" t="n"/>
      <c r="BD37" s="63" t="n"/>
      <c r="BE37" s="6" t="n"/>
      <c r="BF37" s="62" t="n"/>
      <c r="BG37" s="5" t="n"/>
      <c r="BH37" s="6" t="n"/>
      <c r="BI37" s="64" t="n"/>
      <c r="BJ37" s="5" t="n"/>
      <c r="BK37" s="42" t="n"/>
    </row>
    <row r="38" ht="20" customHeight="1">
      <c r="A38" s="65" t="n"/>
      <c r="B38" s="6" t="n"/>
      <c r="C38" s="66" t="n"/>
      <c r="D38" s="5" t="n"/>
      <c r="E38" s="5" t="n"/>
      <c r="F38" s="6" t="n"/>
      <c r="G38" s="66" t="n"/>
      <c r="H38" s="5" t="n"/>
      <c r="I38" s="6" t="n"/>
      <c r="J38" s="66" t="n"/>
      <c r="K38" s="5" t="n"/>
      <c r="L38" s="6" t="n"/>
      <c r="M38" s="66" t="n"/>
      <c r="N38" s="5" t="n"/>
      <c r="O38" s="5" t="n"/>
      <c r="P38" s="5" t="n"/>
      <c r="Q38" s="6" t="n"/>
      <c r="R38" s="66" t="n"/>
      <c r="S38" s="5" t="n"/>
      <c r="T38" s="5" t="n"/>
      <c r="U38" s="5" t="n"/>
      <c r="V38" s="5" t="n"/>
      <c r="W38" s="5" t="n"/>
      <c r="X38" s="6" t="n"/>
      <c r="Y38" s="66" t="n"/>
      <c r="Z38" s="5" t="n"/>
      <c r="AA38" s="5" t="n"/>
      <c r="AB38" s="5" t="n"/>
      <c r="AC38" s="5" t="n"/>
      <c r="AD38" s="6" t="n"/>
      <c r="AE38" s="67" t="n"/>
      <c r="AF38" s="6" t="n"/>
      <c r="AG38" s="67" t="n"/>
      <c r="AH38" s="6" t="n"/>
      <c r="AI38" s="67" t="n"/>
      <c r="AJ38" s="6" t="n"/>
      <c r="AK38" s="67" t="n"/>
      <c r="AL38" s="6" t="n"/>
      <c r="AM38" s="67" t="n"/>
      <c r="AN38" s="5" t="n"/>
      <c r="AO38" s="6" t="n"/>
      <c r="AP38" s="67" t="n"/>
      <c r="AQ38" s="6" t="n"/>
      <c r="AR38" s="66" t="n"/>
      <c r="AS38" s="5" t="n"/>
      <c r="AT38" s="6" t="n"/>
      <c r="AU38" s="67" t="n"/>
      <c r="AV38" s="6" t="n"/>
      <c r="AW38" s="67" t="n"/>
      <c r="AX38" s="6" t="n"/>
      <c r="AY38" s="67" t="n"/>
      <c r="AZ38" s="6" t="n"/>
      <c r="BA38" s="67" t="n"/>
      <c r="BB38" s="5" t="n"/>
      <c r="BC38" s="6" t="n"/>
      <c r="BD38" s="67" t="n"/>
      <c r="BE38" s="6" t="n"/>
      <c r="BF38" s="66" t="n"/>
      <c r="BG38" s="5" t="n"/>
      <c r="BH38" s="6" t="n"/>
      <c r="BI38" s="68" t="n"/>
      <c r="BJ38" s="5" t="n"/>
      <c r="BK38" s="42" t="n"/>
    </row>
    <row r="39" ht="20" customHeight="1">
      <c r="A39" s="61" t="n"/>
      <c r="B39" s="6" t="n"/>
      <c r="C39" s="62" t="n"/>
      <c r="D39" s="5" t="n"/>
      <c r="E39" s="5" t="n"/>
      <c r="F39" s="6" t="n"/>
      <c r="G39" s="62" t="n"/>
      <c r="H39" s="5" t="n"/>
      <c r="I39" s="6" t="n"/>
      <c r="J39" s="62" t="n"/>
      <c r="K39" s="5" t="n"/>
      <c r="L39" s="6" t="n"/>
      <c r="M39" s="62" t="n"/>
      <c r="N39" s="5" t="n"/>
      <c r="O39" s="5" t="n"/>
      <c r="P39" s="5" t="n"/>
      <c r="Q39" s="6" t="n"/>
      <c r="R39" s="62" t="n"/>
      <c r="S39" s="5" t="n"/>
      <c r="T39" s="5" t="n"/>
      <c r="U39" s="5" t="n"/>
      <c r="V39" s="5" t="n"/>
      <c r="W39" s="5" t="n"/>
      <c r="X39" s="6" t="n"/>
      <c r="Y39" s="62" t="n"/>
      <c r="Z39" s="5" t="n"/>
      <c r="AA39" s="5" t="n"/>
      <c r="AB39" s="5" t="n"/>
      <c r="AC39" s="5" t="n"/>
      <c r="AD39" s="6" t="n"/>
      <c r="AE39" s="63" t="n"/>
      <c r="AF39" s="6" t="n"/>
      <c r="AG39" s="63" t="n"/>
      <c r="AH39" s="6" t="n"/>
      <c r="AI39" s="63" t="n"/>
      <c r="AJ39" s="6" t="n"/>
      <c r="AK39" s="63" t="n"/>
      <c r="AL39" s="6" t="n"/>
      <c r="AM39" s="63" t="n"/>
      <c r="AN39" s="5" t="n"/>
      <c r="AO39" s="6" t="n"/>
      <c r="AP39" s="63" t="n"/>
      <c r="AQ39" s="6" t="n"/>
      <c r="AR39" s="62" t="n"/>
      <c r="AS39" s="5" t="n"/>
      <c r="AT39" s="6" t="n"/>
      <c r="AU39" s="63" t="n"/>
      <c r="AV39" s="6" t="n"/>
      <c r="AW39" s="63" t="n"/>
      <c r="AX39" s="6" t="n"/>
      <c r="AY39" s="63" t="n"/>
      <c r="AZ39" s="6" t="n"/>
      <c r="BA39" s="63" t="n"/>
      <c r="BB39" s="5" t="n"/>
      <c r="BC39" s="6" t="n"/>
      <c r="BD39" s="63" t="n"/>
      <c r="BE39" s="6" t="n"/>
      <c r="BF39" s="62" t="n"/>
      <c r="BG39" s="5" t="n"/>
      <c r="BH39" s="6" t="n"/>
      <c r="BI39" s="64" t="n"/>
      <c r="BJ39" s="5" t="n"/>
      <c r="BK39" s="42" t="n"/>
    </row>
    <row r="40" ht="20" customHeight="1">
      <c r="A40" s="65" t="n"/>
      <c r="B40" s="6" t="n"/>
      <c r="C40" s="66" t="n"/>
      <c r="D40" s="5" t="n"/>
      <c r="E40" s="5" t="n"/>
      <c r="F40" s="6" t="n"/>
      <c r="G40" s="66" t="n"/>
      <c r="H40" s="5" t="n"/>
      <c r="I40" s="6" t="n"/>
      <c r="J40" s="66" t="n"/>
      <c r="K40" s="5" t="n"/>
      <c r="L40" s="6" t="n"/>
      <c r="M40" s="66" t="n"/>
      <c r="N40" s="5" t="n"/>
      <c r="O40" s="5" t="n"/>
      <c r="P40" s="5" t="n"/>
      <c r="Q40" s="6" t="n"/>
      <c r="R40" s="66" t="n"/>
      <c r="S40" s="5" t="n"/>
      <c r="T40" s="5" t="n"/>
      <c r="U40" s="5" t="n"/>
      <c r="V40" s="5" t="n"/>
      <c r="W40" s="5" t="n"/>
      <c r="X40" s="6" t="n"/>
      <c r="Y40" s="66" t="n"/>
      <c r="Z40" s="5" t="n"/>
      <c r="AA40" s="5" t="n"/>
      <c r="AB40" s="5" t="n"/>
      <c r="AC40" s="5" t="n"/>
      <c r="AD40" s="6" t="n"/>
      <c r="AE40" s="67" t="n"/>
      <c r="AF40" s="6" t="n"/>
      <c r="AG40" s="67" t="n"/>
      <c r="AH40" s="6" t="n"/>
      <c r="AI40" s="67" t="n"/>
      <c r="AJ40" s="6" t="n"/>
      <c r="AK40" s="67" t="n"/>
      <c r="AL40" s="6" t="n"/>
      <c r="AM40" s="67" t="n"/>
      <c r="AN40" s="5" t="n"/>
      <c r="AO40" s="6" t="n"/>
      <c r="AP40" s="67" t="n"/>
      <c r="AQ40" s="6" t="n"/>
      <c r="AR40" s="66" t="n"/>
      <c r="AS40" s="5" t="n"/>
      <c r="AT40" s="6" t="n"/>
      <c r="AU40" s="67" t="n"/>
      <c r="AV40" s="6" t="n"/>
      <c r="AW40" s="67" t="n"/>
      <c r="AX40" s="6" t="n"/>
      <c r="AY40" s="67" t="n"/>
      <c r="AZ40" s="6" t="n"/>
      <c r="BA40" s="67" t="n"/>
      <c r="BB40" s="5" t="n"/>
      <c r="BC40" s="6" t="n"/>
      <c r="BD40" s="67" t="n"/>
      <c r="BE40" s="6" t="n"/>
      <c r="BF40" s="66" t="n"/>
      <c r="BG40" s="5" t="n"/>
      <c r="BH40" s="6" t="n"/>
      <c r="BI40" s="68" t="n"/>
      <c r="BJ40" s="5" t="n"/>
      <c r="BK40" s="42" t="n"/>
    </row>
    <row r="41" ht="20" customHeight="1">
      <c r="A41" s="61" t="n"/>
      <c r="B41" s="6" t="n"/>
      <c r="C41" s="62" t="n"/>
      <c r="D41" s="5" t="n"/>
      <c r="E41" s="5" t="n"/>
      <c r="F41" s="6" t="n"/>
      <c r="G41" s="62" t="n"/>
      <c r="H41" s="5" t="n"/>
      <c r="I41" s="6" t="n"/>
      <c r="J41" s="62" t="n"/>
      <c r="K41" s="5" t="n"/>
      <c r="L41" s="6" t="n"/>
      <c r="M41" s="62" t="n"/>
      <c r="N41" s="5" t="n"/>
      <c r="O41" s="5" t="n"/>
      <c r="P41" s="5" t="n"/>
      <c r="Q41" s="6" t="n"/>
      <c r="R41" s="62" t="n"/>
      <c r="S41" s="5" t="n"/>
      <c r="T41" s="5" t="n"/>
      <c r="U41" s="5" t="n"/>
      <c r="V41" s="5" t="n"/>
      <c r="W41" s="5" t="n"/>
      <c r="X41" s="6" t="n"/>
      <c r="Y41" s="62" t="n"/>
      <c r="Z41" s="5" t="n"/>
      <c r="AA41" s="5" t="n"/>
      <c r="AB41" s="5" t="n"/>
      <c r="AC41" s="5" t="n"/>
      <c r="AD41" s="6" t="n"/>
      <c r="AE41" s="63" t="n"/>
      <c r="AF41" s="6" t="n"/>
      <c r="AG41" s="63" t="n"/>
      <c r="AH41" s="6" t="n"/>
      <c r="AI41" s="63" t="n"/>
      <c r="AJ41" s="6" t="n"/>
      <c r="AK41" s="63" t="n"/>
      <c r="AL41" s="6" t="n"/>
      <c r="AM41" s="63" t="n"/>
      <c r="AN41" s="5" t="n"/>
      <c r="AO41" s="6" t="n"/>
      <c r="AP41" s="63" t="n"/>
      <c r="AQ41" s="6" t="n"/>
      <c r="AR41" s="62" t="n"/>
      <c r="AS41" s="5" t="n"/>
      <c r="AT41" s="6" t="n"/>
      <c r="AU41" s="63" t="n"/>
      <c r="AV41" s="6" t="n"/>
      <c r="AW41" s="63" t="n"/>
      <c r="AX41" s="6" t="n"/>
      <c r="AY41" s="63" t="n"/>
      <c r="AZ41" s="6" t="n"/>
      <c r="BA41" s="63" t="n"/>
      <c r="BB41" s="5" t="n"/>
      <c r="BC41" s="6" t="n"/>
      <c r="BD41" s="63" t="n"/>
      <c r="BE41" s="6" t="n"/>
      <c r="BF41" s="62" t="n"/>
      <c r="BG41" s="5" t="n"/>
      <c r="BH41" s="6" t="n"/>
      <c r="BI41" s="64" t="n"/>
      <c r="BJ41" s="5" t="n"/>
      <c r="BK41" s="42" t="n"/>
    </row>
    <row r="42" ht="20" customHeight="1">
      <c r="A42" s="65" t="n"/>
      <c r="B42" s="6" t="n"/>
      <c r="C42" s="66" t="n"/>
      <c r="D42" s="5" t="n"/>
      <c r="E42" s="5" t="n"/>
      <c r="F42" s="6" t="n"/>
      <c r="G42" s="66" t="n"/>
      <c r="H42" s="5" t="n"/>
      <c r="I42" s="6" t="n"/>
      <c r="J42" s="66" t="n"/>
      <c r="K42" s="5" t="n"/>
      <c r="L42" s="6" t="n"/>
      <c r="M42" s="66" t="n"/>
      <c r="N42" s="5" t="n"/>
      <c r="O42" s="5" t="n"/>
      <c r="P42" s="5" t="n"/>
      <c r="Q42" s="6" t="n"/>
      <c r="R42" s="66" t="n"/>
      <c r="S42" s="5" t="n"/>
      <c r="T42" s="5" t="n"/>
      <c r="U42" s="5" t="n"/>
      <c r="V42" s="5" t="n"/>
      <c r="W42" s="5" t="n"/>
      <c r="X42" s="6" t="n"/>
      <c r="Y42" s="66" t="n"/>
      <c r="Z42" s="5" t="n"/>
      <c r="AA42" s="5" t="n"/>
      <c r="AB42" s="5" t="n"/>
      <c r="AC42" s="5" t="n"/>
      <c r="AD42" s="6" t="n"/>
      <c r="AE42" s="67" t="n"/>
      <c r="AF42" s="6" t="n"/>
      <c r="AG42" s="67" t="n"/>
      <c r="AH42" s="6" t="n"/>
      <c r="AI42" s="67" t="n"/>
      <c r="AJ42" s="6" t="n"/>
      <c r="AK42" s="67" t="n"/>
      <c r="AL42" s="6" t="n"/>
      <c r="AM42" s="67" t="n"/>
      <c r="AN42" s="5" t="n"/>
      <c r="AO42" s="6" t="n"/>
      <c r="AP42" s="67" t="n"/>
      <c r="AQ42" s="6" t="n"/>
      <c r="AR42" s="66" t="n"/>
      <c r="AS42" s="5" t="n"/>
      <c r="AT42" s="6" t="n"/>
      <c r="AU42" s="67" t="n"/>
      <c r="AV42" s="6" t="n"/>
      <c r="AW42" s="67" t="n"/>
      <c r="AX42" s="6" t="n"/>
      <c r="AY42" s="67" t="n"/>
      <c r="AZ42" s="6" t="n"/>
      <c r="BA42" s="67" t="n"/>
      <c r="BB42" s="5" t="n"/>
      <c r="BC42" s="6" t="n"/>
      <c r="BD42" s="67" t="n"/>
      <c r="BE42" s="6" t="n"/>
      <c r="BF42" s="66" t="n"/>
      <c r="BG42" s="5" t="n"/>
      <c r="BH42" s="6" t="n"/>
      <c r="BI42" s="68" t="n"/>
      <c r="BJ42" s="5" t="n"/>
      <c r="BK42" s="42" t="n"/>
    </row>
    <row r="43" ht="20" customHeight="1">
      <c r="A43" s="61" t="n"/>
      <c r="B43" s="6" t="n"/>
      <c r="C43" s="62" t="n"/>
      <c r="D43" s="5" t="n"/>
      <c r="E43" s="5" t="n"/>
      <c r="F43" s="6" t="n"/>
      <c r="G43" s="62" t="n"/>
      <c r="H43" s="5" t="n"/>
      <c r="I43" s="6" t="n"/>
      <c r="J43" s="62" t="n"/>
      <c r="K43" s="5" t="n"/>
      <c r="L43" s="6" t="n"/>
      <c r="M43" s="62" t="n"/>
      <c r="N43" s="5" t="n"/>
      <c r="O43" s="5" t="n"/>
      <c r="P43" s="5" t="n"/>
      <c r="Q43" s="6" t="n"/>
      <c r="R43" s="62" t="n"/>
      <c r="S43" s="5" t="n"/>
      <c r="T43" s="5" t="n"/>
      <c r="U43" s="5" t="n"/>
      <c r="V43" s="5" t="n"/>
      <c r="W43" s="5" t="n"/>
      <c r="X43" s="6" t="n"/>
      <c r="Y43" s="62" t="n"/>
      <c r="Z43" s="5" t="n"/>
      <c r="AA43" s="5" t="n"/>
      <c r="AB43" s="5" t="n"/>
      <c r="AC43" s="5" t="n"/>
      <c r="AD43" s="6" t="n"/>
      <c r="AE43" s="63" t="n"/>
      <c r="AF43" s="6" t="n"/>
      <c r="AG43" s="63" t="n"/>
      <c r="AH43" s="6" t="n"/>
      <c r="AI43" s="63" t="n"/>
      <c r="AJ43" s="6" t="n"/>
      <c r="AK43" s="63" t="n"/>
      <c r="AL43" s="6" t="n"/>
      <c r="AM43" s="63" t="n"/>
      <c r="AN43" s="5" t="n"/>
      <c r="AO43" s="6" t="n"/>
      <c r="AP43" s="63" t="n"/>
      <c r="AQ43" s="6" t="n"/>
      <c r="AR43" s="62" t="n"/>
      <c r="AS43" s="5" t="n"/>
      <c r="AT43" s="6" t="n"/>
      <c r="AU43" s="63" t="n"/>
      <c r="AV43" s="6" t="n"/>
      <c r="AW43" s="63" t="n"/>
      <c r="AX43" s="6" t="n"/>
      <c r="AY43" s="63" t="n"/>
      <c r="AZ43" s="6" t="n"/>
      <c r="BA43" s="63" t="n"/>
      <c r="BB43" s="5" t="n"/>
      <c r="BC43" s="6" t="n"/>
      <c r="BD43" s="63" t="n"/>
      <c r="BE43" s="6" t="n"/>
      <c r="BF43" s="62" t="n"/>
      <c r="BG43" s="5" t="n"/>
      <c r="BH43" s="6" t="n"/>
      <c r="BI43" s="64" t="n"/>
      <c r="BJ43" s="5" t="n"/>
      <c r="BK43" s="42" t="n"/>
    </row>
    <row r="44" ht="20" customHeight="1">
      <c r="A44" s="65" t="n"/>
      <c r="B44" s="6" t="n"/>
      <c r="C44" s="66" t="n"/>
      <c r="D44" s="5" t="n"/>
      <c r="E44" s="5" t="n"/>
      <c r="F44" s="6" t="n"/>
      <c r="G44" s="66" t="n"/>
      <c r="H44" s="5" t="n"/>
      <c r="I44" s="6" t="n"/>
      <c r="J44" s="66" t="n"/>
      <c r="K44" s="5" t="n"/>
      <c r="L44" s="6" t="n"/>
      <c r="M44" s="66" t="n"/>
      <c r="N44" s="5" t="n"/>
      <c r="O44" s="5" t="n"/>
      <c r="P44" s="5" t="n"/>
      <c r="Q44" s="6" t="n"/>
      <c r="R44" s="66" t="n"/>
      <c r="S44" s="5" t="n"/>
      <c r="T44" s="5" t="n"/>
      <c r="U44" s="5" t="n"/>
      <c r="V44" s="5" t="n"/>
      <c r="W44" s="5" t="n"/>
      <c r="X44" s="6" t="n"/>
      <c r="Y44" s="66" t="n"/>
      <c r="Z44" s="5" t="n"/>
      <c r="AA44" s="5" t="n"/>
      <c r="AB44" s="5" t="n"/>
      <c r="AC44" s="5" t="n"/>
      <c r="AD44" s="6" t="n"/>
      <c r="AE44" s="67" t="n"/>
      <c r="AF44" s="6" t="n"/>
      <c r="AG44" s="67" t="n"/>
      <c r="AH44" s="6" t="n"/>
      <c r="AI44" s="67" t="n"/>
      <c r="AJ44" s="6" t="n"/>
      <c r="AK44" s="67" t="n"/>
      <c r="AL44" s="6" t="n"/>
      <c r="AM44" s="67" t="n"/>
      <c r="AN44" s="5" t="n"/>
      <c r="AO44" s="6" t="n"/>
      <c r="AP44" s="67" t="n"/>
      <c r="AQ44" s="6" t="n"/>
      <c r="AR44" s="66" t="n"/>
      <c r="AS44" s="5" t="n"/>
      <c r="AT44" s="6" t="n"/>
      <c r="AU44" s="67" t="n"/>
      <c r="AV44" s="6" t="n"/>
      <c r="AW44" s="67" t="n"/>
      <c r="AX44" s="6" t="n"/>
      <c r="AY44" s="67" t="n"/>
      <c r="AZ44" s="6" t="n"/>
      <c r="BA44" s="67" t="n"/>
      <c r="BB44" s="5" t="n"/>
      <c r="BC44" s="6" t="n"/>
      <c r="BD44" s="67" t="n"/>
      <c r="BE44" s="6" t="n"/>
      <c r="BF44" s="66" t="n"/>
      <c r="BG44" s="5" t="n"/>
      <c r="BH44" s="6" t="n"/>
      <c r="BI44" s="68" t="n"/>
      <c r="BJ44" s="5" t="n"/>
      <c r="BK44" s="42" t="n"/>
    </row>
    <row r="45" ht="20" customHeight="1">
      <c r="A45" s="61" t="n"/>
      <c r="B45" s="6" t="n"/>
      <c r="C45" s="62" t="n"/>
      <c r="D45" s="5" t="n"/>
      <c r="E45" s="5" t="n"/>
      <c r="F45" s="6" t="n"/>
      <c r="G45" s="62" t="n"/>
      <c r="H45" s="5" t="n"/>
      <c r="I45" s="6" t="n"/>
      <c r="J45" s="62" t="n"/>
      <c r="K45" s="5" t="n"/>
      <c r="L45" s="6" t="n"/>
      <c r="M45" s="62" t="n"/>
      <c r="N45" s="5" t="n"/>
      <c r="O45" s="5" t="n"/>
      <c r="P45" s="5" t="n"/>
      <c r="Q45" s="6" t="n"/>
      <c r="R45" s="62" t="n"/>
      <c r="S45" s="5" t="n"/>
      <c r="T45" s="5" t="n"/>
      <c r="U45" s="5" t="n"/>
      <c r="V45" s="5" t="n"/>
      <c r="W45" s="5" t="n"/>
      <c r="X45" s="6" t="n"/>
      <c r="Y45" s="62" t="n"/>
      <c r="Z45" s="5" t="n"/>
      <c r="AA45" s="5" t="n"/>
      <c r="AB45" s="5" t="n"/>
      <c r="AC45" s="5" t="n"/>
      <c r="AD45" s="6" t="n"/>
      <c r="AE45" s="63" t="n"/>
      <c r="AF45" s="6" t="n"/>
      <c r="AG45" s="63" t="n"/>
      <c r="AH45" s="6" t="n"/>
      <c r="AI45" s="63" t="n"/>
      <c r="AJ45" s="6" t="n"/>
      <c r="AK45" s="63" t="n"/>
      <c r="AL45" s="6" t="n"/>
      <c r="AM45" s="63" t="n"/>
      <c r="AN45" s="5" t="n"/>
      <c r="AO45" s="6" t="n"/>
      <c r="AP45" s="63" t="n"/>
      <c r="AQ45" s="6" t="n"/>
      <c r="AR45" s="62" t="n"/>
      <c r="AS45" s="5" t="n"/>
      <c r="AT45" s="6" t="n"/>
      <c r="AU45" s="63" t="n"/>
      <c r="AV45" s="6" t="n"/>
      <c r="AW45" s="63" t="n"/>
      <c r="AX45" s="6" t="n"/>
      <c r="AY45" s="63" t="n"/>
      <c r="AZ45" s="6" t="n"/>
      <c r="BA45" s="63" t="n"/>
      <c r="BB45" s="5" t="n"/>
      <c r="BC45" s="6" t="n"/>
      <c r="BD45" s="63" t="n"/>
      <c r="BE45" s="6" t="n"/>
      <c r="BF45" s="62" t="n"/>
      <c r="BG45" s="5" t="n"/>
      <c r="BH45" s="6" t="n"/>
      <c r="BI45" s="64" t="n"/>
      <c r="BJ45" s="5" t="n"/>
      <c r="BK45" s="42" t="n"/>
    </row>
    <row r="46" ht="20" customHeight="1">
      <c r="A46" s="65" t="n"/>
      <c r="B46" s="6" t="n"/>
      <c r="C46" s="66" t="n"/>
      <c r="D46" s="5" t="n"/>
      <c r="E46" s="5" t="n"/>
      <c r="F46" s="6" t="n"/>
      <c r="G46" s="66" t="n"/>
      <c r="H46" s="5" t="n"/>
      <c r="I46" s="6" t="n"/>
      <c r="J46" s="66" t="n"/>
      <c r="K46" s="5" t="n"/>
      <c r="L46" s="6" t="n"/>
      <c r="M46" s="66" t="n"/>
      <c r="N46" s="5" t="n"/>
      <c r="O46" s="5" t="n"/>
      <c r="P46" s="5" t="n"/>
      <c r="Q46" s="6" t="n"/>
      <c r="R46" s="66" t="n"/>
      <c r="S46" s="5" t="n"/>
      <c r="T46" s="5" t="n"/>
      <c r="U46" s="5" t="n"/>
      <c r="V46" s="5" t="n"/>
      <c r="W46" s="5" t="n"/>
      <c r="X46" s="6" t="n"/>
      <c r="Y46" s="66" t="n"/>
      <c r="Z46" s="5" t="n"/>
      <c r="AA46" s="5" t="n"/>
      <c r="AB46" s="5" t="n"/>
      <c r="AC46" s="5" t="n"/>
      <c r="AD46" s="6" t="n"/>
      <c r="AE46" s="67" t="n"/>
      <c r="AF46" s="6" t="n"/>
      <c r="AG46" s="67" t="n"/>
      <c r="AH46" s="6" t="n"/>
      <c r="AI46" s="67" t="n"/>
      <c r="AJ46" s="6" t="n"/>
      <c r="AK46" s="67" t="n"/>
      <c r="AL46" s="6" t="n"/>
      <c r="AM46" s="67" t="n"/>
      <c r="AN46" s="5" t="n"/>
      <c r="AO46" s="6" t="n"/>
      <c r="AP46" s="67" t="n"/>
      <c r="AQ46" s="6" t="n"/>
      <c r="AR46" s="66" t="n"/>
      <c r="AS46" s="5" t="n"/>
      <c r="AT46" s="6" t="n"/>
      <c r="AU46" s="67" t="n"/>
      <c r="AV46" s="6" t="n"/>
      <c r="AW46" s="67" t="n"/>
      <c r="AX46" s="6" t="n"/>
      <c r="AY46" s="67" t="n"/>
      <c r="AZ46" s="6" t="n"/>
      <c r="BA46" s="67" t="n"/>
      <c r="BB46" s="5" t="n"/>
      <c r="BC46" s="6" t="n"/>
      <c r="BD46" s="67" t="n"/>
      <c r="BE46" s="6" t="n"/>
      <c r="BF46" s="66" t="n"/>
      <c r="BG46" s="5" t="n"/>
      <c r="BH46" s="6" t="n"/>
      <c r="BI46" s="68" t="n"/>
      <c r="BJ46" s="5" t="n"/>
      <c r="BK46" s="42" t="n"/>
    </row>
    <row r="47" ht="20" customHeight="1">
      <c r="A47" s="61" t="n"/>
      <c r="B47" s="6" t="n"/>
      <c r="C47" s="62" t="n"/>
      <c r="D47" s="5" t="n"/>
      <c r="E47" s="5" t="n"/>
      <c r="F47" s="6" t="n"/>
      <c r="G47" s="62" t="n"/>
      <c r="H47" s="5" t="n"/>
      <c r="I47" s="6" t="n"/>
      <c r="J47" s="62" t="n"/>
      <c r="K47" s="5" t="n"/>
      <c r="L47" s="6" t="n"/>
      <c r="M47" s="62" t="n"/>
      <c r="N47" s="5" t="n"/>
      <c r="O47" s="5" t="n"/>
      <c r="P47" s="5" t="n"/>
      <c r="Q47" s="6" t="n"/>
      <c r="R47" s="62" t="n"/>
      <c r="S47" s="5" t="n"/>
      <c r="T47" s="5" t="n"/>
      <c r="U47" s="5" t="n"/>
      <c r="V47" s="5" t="n"/>
      <c r="W47" s="5" t="n"/>
      <c r="X47" s="6" t="n"/>
      <c r="Y47" s="62" t="n"/>
      <c r="Z47" s="5" t="n"/>
      <c r="AA47" s="5" t="n"/>
      <c r="AB47" s="5" t="n"/>
      <c r="AC47" s="5" t="n"/>
      <c r="AD47" s="6" t="n"/>
      <c r="AE47" s="63" t="n"/>
      <c r="AF47" s="6" t="n"/>
      <c r="AG47" s="63" t="n"/>
      <c r="AH47" s="6" t="n"/>
      <c r="AI47" s="63" t="n"/>
      <c r="AJ47" s="6" t="n"/>
      <c r="AK47" s="63" t="n"/>
      <c r="AL47" s="6" t="n"/>
      <c r="AM47" s="63" t="n"/>
      <c r="AN47" s="5" t="n"/>
      <c r="AO47" s="6" t="n"/>
      <c r="AP47" s="63" t="n"/>
      <c r="AQ47" s="6" t="n"/>
      <c r="AR47" s="62" t="n"/>
      <c r="AS47" s="5" t="n"/>
      <c r="AT47" s="6" t="n"/>
      <c r="AU47" s="63" t="n"/>
      <c r="AV47" s="6" t="n"/>
      <c r="AW47" s="63" t="n"/>
      <c r="AX47" s="6" t="n"/>
      <c r="AY47" s="63" t="n"/>
      <c r="AZ47" s="6" t="n"/>
      <c r="BA47" s="63" t="n"/>
      <c r="BB47" s="5" t="n"/>
      <c r="BC47" s="6" t="n"/>
      <c r="BD47" s="63" t="n"/>
      <c r="BE47" s="6" t="n"/>
      <c r="BF47" s="62" t="n"/>
      <c r="BG47" s="5" t="n"/>
      <c r="BH47" s="6" t="n"/>
      <c r="BI47" s="64" t="n"/>
      <c r="BJ47" s="5" t="n"/>
      <c r="BK47" s="42" t="n"/>
    </row>
    <row r="48" ht="20" customHeight="1">
      <c r="A48" s="65" t="n"/>
      <c r="B48" s="6" t="n"/>
      <c r="C48" s="66" t="n"/>
      <c r="D48" s="5" t="n"/>
      <c r="E48" s="5" t="n"/>
      <c r="F48" s="6" t="n"/>
      <c r="G48" s="66" t="n"/>
      <c r="H48" s="5" t="n"/>
      <c r="I48" s="6" t="n"/>
      <c r="J48" s="66" t="n"/>
      <c r="K48" s="5" t="n"/>
      <c r="L48" s="6" t="n"/>
      <c r="M48" s="66" t="n"/>
      <c r="N48" s="5" t="n"/>
      <c r="O48" s="5" t="n"/>
      <c r="P48" s="5" t="n"/>
      <c r="Q48" s="6" t="n"/>
      <c r="R48" s="66" t="n"/>
      <c r="S48" s="5" t="n"/>
      <c r="T48" s="5" t="n"/>
      <c r="U48" s="5" t="n"/>
      <c r="V48" s="5" t="n"/>
      <c r="W48" s="5" t="n"/>
      <c r="X48" s="6" t="n"/>
      <c r="Y48" s="66" t="n"/>
      <c r="Z48" s="5" t="n"/>
      <c r="AA48" s="5" t="n"/>
      <c r="AB48" s="5" t="n"/>
      <c r="AC48" s="5" t="n"/>
      <c r="AD48" s="6" t="n"/>
      <c r="AE48" s="67" t="n"/>
      <c r="AF48" s="6" t="n"/>
      <c r="AG48" s="67" t="n"/>
      <c r="AH48" s="6" t="n"/>
      <c r="AI48" s="67" t="n"/>
      <c r="AJ48" s="6" t="n"/>
      <c r="AK48" s="67" t="n"/>
      <c r="AL48" s="6" t="n"/>
      <c r="AM48" s="67" t="n"/>
      <c r="AN48" s="5" t="n"/>
      <c r="AO48" s="6" t="n"/>
      <c r="AP48" s="67" t="n"/>
      <c r="AQ48" s="6" t="n"/>
      <c r="AR48" s="66" t="n"/>
      <c r="AS48" s="5" t="n"/>
      <c r="AT48" s="6" t="n"/>
      <c r="AU48" s="67" t="n"/>
      <c r="AV48" s="6" t="n"/>
      <c r="AW48" s="67" t="n"/>
      <c r="AX48" s="6" t="n"/>
      <c r="AY48" s="67" t="n"/>
      <c r="AZ48" s="6" t="n"/>
      <c r="BA48" s="67" t="n"/>
      <c r="BB48" s="5" t="n"/>
      <c r="BC48" s="6" t="n"/>
      <c r="BD48" s="67" t="n"/>
      <c r="BE48" s="6" t="n"/>
      <c r="BF48" s="66" t="n"/>
      <c r="BG48" s="5" t="n"/>
      <c r="BH48" s="6" t="n"/>
      <c r="BI48" s="68" t="n"/>
      <c r="BJ48" s="5" t="n"/>
      <c r="BK48" s="42" t="n"/>
    </row>
    <row r="49" ht="20" customHeight="1">
      <c r="A49" s="61" t="n"/>
      <c r="B49" s="6" t="n"/>
      <c r="C49" s="62" t="n"/>
      <c r="D49" s="5" t="n"/>
      <c r="E49" s="5" t="n"/>
      <c r="F49" s="6" t="n"/>
      <c r="G49" s="62" t="n"/>
      <c r="H49" s="5" t="n"/>
      <c r="I49" s="6" t="n"/>
      <c r="J49" s="62" t="n"/>
      <c r="K49" s="5" t="n"/>
      <c r="L49" s="6" t="n"/>
      <c r="M49" s="62" t="n"/>
      <c r="N49" s="5" t="n"/>
      <c r="O49" s="5" t="n"/>
      <c r="P49" s="5" t="n"/>
      <c r="Q49" s="6" t="n"/>
      <c r="R49" s="62" t="n"/>
      <c r="S49" s="5" t="n"/>
      <c r="T49" s="5" t="n"/>
      <c r="U49" s="5" t="n"/>
      <c r="V49" s="5" t="n"/>
      <c r="W49" s="5" t="n"/>
      <c r="X49" s="6" t="n"/>
      <c r="Y49" s="62" t="n"/>
      <c r="Z49" s="5" t="n"/>
      <c r="AA49" s="5" t="n"/>
      <c r="AB49" s="5" t="n"/>
      <c r="AC49" s="5" t="n"/>
      <c r="AD49" s="6" t="n"/>
      <c r="AE49" s="63" t="n"/>
      <c r="AF49" s="6" t="n"/>
      <c r="AG49" s="63" t="n"/>
      <c r="AH49" s="6" t="n"/>
      <c r="AI49" s="63" t="n"/>
      <c r="AJ49" s="6" t="n"/>
      <c r="AK49" s="63" t="n"/>
      <c r="AL49" s="6" t="n"/>
      <c r="AM49" s="63" t="n"/>
      <c r="AN49" s="5" t="n"/>
      <c r="AO49" s="6" t="n"/>
      <c r="AP49" s="63" t="n"/>
      <c r="AQ49" s="6" t="n"/>
      <c r="AR49" s="62" t="n"/>
      <c r="AS49" s="5" t="n"/>
      <c r="AT49" s="6" t="n"/>
      <c r="AU49" s="63" t="n"/>
      <c r="AV49" s="6" t="n"/>
      <c r="AW49" s="63" t="n"/>
      <c r="AX49" s="6" t="n"/>
      <c r="AY49" s="63" t="n"/>
      <c r="AZ49" s="6" t="n"/>
      <c r="BA49" s="63" t="n"/>
      <c r="BB49" s="5" t="n"/>
      <c r="BC49" s="6" t="n"/>
      <c r="BD49" s="63" t="n"/>
      <c r="BE49" s="6" t="n"/>
      <c r="BF49" s="62" t="n"/>
      <c r="BG49" s="5" t="n"/>
      <c r="BH49" s="6" t="n"/>
      <c r="BI49" s="64" t="n"/>
      <c r="BJ49" s="5" t="n"/>
      <c r="BK49" s="42" t="n"/>
    </row>
    <row r="50" ht="20" customHeight="1">
      <c r="A50" s="65" t="n"/>
      <c r="B50" s="6" t="n"/>
      <c r="C50" s="66" t="n"/>
      <c r="D50" s="5" t="n"/>
      <c r="E50" s="5" t="n"/>
      <c r="F50" s="6" t="n"/>
      <c r="G50" s="66" t="n"/>
      <c r="H50" s="5" t="n"/>
      <c r="I50" s="6" t="n"/>
      <c r="J50" s="66" t="n"/>
      <c r="K50" s="5" t="n"/>
      <c r="L50" s="6" t="n"/>
      <c r="M50" s="66" t="n"/>
      <c r="N50" s="5" t="n"/>
      <c r="O50" s="5" t="n"/>
      <c r="P50" s="5" t="n"/>
      <c r="Q50" s="6" t="n"/>
      <c r="R50" s="66" t="n"/>
      <c r="S50" s="5" t="n"/>
      <c r="T50" s="5" t="n"/>
      <c r="U50" s="5" t="n"/>
      <c r="V50" s="5" t="n"/>
      <c r="W50" s="5" t="n"/>
      <c r="X50" s="6" t="n"/>
      <c r="Y50" s="66" t="n"/>
      <c r="Z50" s="5" t="n"/>
      <c r="AA50" s="5" t="n"/>
      <c r="AB50" s="5" t="n"/>
      <c r="AC50" s="5" t="n"/>
      <c r="AD50" s="6" t="n"/>
      <c r="AE50" s="67" t="n"/>
      <c r="AF50" s="6" t="n"/>
      <c r="AG50" s="67" t="n"/>
      <c r="AH50" s="6" t="n"/>
      <c r="AI50" s="67" t="n"/>
      <c r="AJ50" s="6" t="n"/>
      <c r="AK50" s="67" t="n"/>
      <c r="AL50" s="6" t="n"/>
      <c r="AM50" s="67" t="n"/>
      <c r="AN50" s="5" t="n"/>
      <c r="AO50" s="6" t="n"/>
      <c r="AP50" s="67" t="n"/>
      <c r="AQ50" s="6" t="n"/>
      <c r="AR50" s="66" t="n"/>
      <c r="AS50" s="5" t="n"/>
      <c r="AT50" s="6" t="n"/>
      <c r="AU50" s="67" t="n"/>
      <c r="AV50" s="6" t="n"/>
      <c r="AW50" s="67" t="n"/>
      <c r="AX50" s="6" t="n"/>
      <c r="AY50" s="67" t="n"/>
      <c r="AZ50" s="6" t="n"/>
      <c r="BA50" s="67" t="n"/>
      <c r="BB50" s="5" t="n"/>
      <c r="BC50" s="6" t="n"/>
      <c r="BD50" s="67" t="n"/>
      <c r="BE50" s="6" t="n"/>
      <c r="BF50" s="66" t="n"/>
      <c r="BG50" s="5" t="n"/>
      <c r="BH50" s="6" t="n"/>
      <c r="BI50" s="68" t="n"/>
      <c r="BJ50" s="5" t="n"/>
      <c r="BK50" s="42" t="n"/>
    </row>
    <row r="51" ht="20" customHeight="1">
      <c r="A51" s="61" t="n"/>
      <c r="B51" s="6" t="n"/>
      <c r="C51" s="62" t="n"/>
      <c r="D51" s="5" t="n"/>
      <c r="E51" s="5" t="n"/>
      <c r="F51" s="6" t="n"/>
      <c r="G51" s="62" t="n"/>
      <c r="H51" s="5" t="n"/>
      <c r="I51" s="6" t="n"/>
      <c r="J51" s="62" t="n"/>
      <c r="K51" s="5" t="n"/>
      <c r="L51" s="6" t="n"/>
      <c r="M51" s="62" t="n"/>
      <c r="N51" s="5" t="n"/>
      <c r="O51" s="5" t="n"/>
      <c r="P51" s="5" t="n"/>
      <c r="Q51" s="6" t="n"/>
      <c r="R51" s="62" t="n"/>
      <c r="S51" s="5" t="n"/>
      <c r="T51" s="5" t="n"/>
      <c r="U51" s="5" t="n"/>
      <c r="V51" s="5" t="n"/>
      <c r="W51" s="5" t="n"/>
      <c r="X51" s="6" t="n"/>
      <c r="Y51" s="62" t="n"/>
      <c r="Z51" s="5" t="n"/>
      <c r="AA51" s="5" t="n"/>
      <c r="AB51" s="5" t="n"/>
      <c r="AC51" s="5" t="n"/>
      <c r="AD51" s="6" t="n"/>
      <c r="AE51" s="63" t="n"/>
      <c r="AF51" s="6" t="n"/>
      <c r="AG51" s="63" t="n"/>
      <c r="AH51" s="6" t="n"/>
      <c r="AI51" s="63" t="n"/>
      <c r="AJ51" s="6" t="n"/>
      <c r="AK51" s="63" t="n"/>
      <c r="AL51" s="6" t="n"/>
      <c r="AM51" s="63" t="n"/>
      <c r="AN51" s="5" t="n"/>
      <c r="AO51" s="6" t="n"/>
      <c r="AP51" s="63" t="n"/>
      <c r="AQ51" s="6" t="n"/>
      <c r="AR51" s="62" t="n"/>
      <c r="AS51" s="5" t="n"/>
      <c r="AT51" s="6" t="n"/>
      <c r="AU51" s="63" t="n"/>
      <c r="AV51" s="6" t="n"/>
      <c r="AW51" s="63" t="n"/>
      <c r="AX51" s="6" t="n"/>
      <c r="AY51" s="63" t="n"/>
      <c r="AZ51" s="6" t="n"/>
      <c r="BA51" s="63" t="n"/>
      <c r="BB51" s="5" t="n"/>
      <c r="BC51" s="6" t="n"/>
      <c r="BD51" s="63" t="n"/>
      <c r="BE51" s="6" t="n"/>
      <c r="BF51" s="62" t="n"/>
      <c r="BG51" s="5" t="n"/>
      <c r="BH51" s="6" t="n"/>
      <c r="BI51" s="64" t="n"/>
      <c r="BJ51" s="5" t="n"/>
      <c r="BK51" s="42" t="n"/>
    </row>
    <row r="52" ht="20" customHeight="1">
      <c r="A52" s="65" t="n"/>
      <c r="B52" s="6" t="n"/>
      <c r="C52" s="66" t="n"/>
      <c r="D52" s="5" t="n"/>
      <c r="E52" s="5" t="n"/>
      <c r="F52" s="6" t="n"/>
      <c r="G52" s="66" t="n"/>
      <c r="H52" s="5" t="n"/>
      <c r="I52" s="6" t="n"/>
      <c r="J52" s="66" t="n"/>
      <c r="K52" s="5" t="n"/>
      <c r="L52" s="6" t="n"/>
      <c r="M52" s="66" t="n"/>
      <c r="N52" s="5" t="n"/>
      <c r="O52" s="5" t="n"/>
      <c r="P52" s="5" t="n"/>
      <c r="Q52" s="6" t="n"/>
      <c r="R52" s="66" t="n"/>
      <c r="S52" s="5" t="n"/>
      <c r="T52" s="5" t="n"/>
      <c r="U52" s="5" t="n"/>
      <c r="V52" s="5" t="n"/>
      <c r="W52" s="5" t="n"/>
      <c r="X52" s="6" t="n"/>
      <c r="Y52" s="66" t="n"/>
      <c r="Z52" s="5" t="n"/>
      <c r="AA52" s="5" t="n"/>
      <c r="AB52" s="5" t="n"/>
      <c r="AC52" s="5" t="n"/>
      <c r="AD52" s="6" t="n"/>
      <c r="AE52" s="67" t="n"/>
      <c r="AF52" s="6" t="n"/>
      <c r="AG52" s="67" t="n"/>
      <c r="AH52" s="6" t="n"/>
      <c r="AI52" s="67" t="n"/>
      <c r="AJ52" s="6" t="n"/>
      <c r="AK52" s="67" t="n"/>
      <c r="AL52" s="6" t="n"/>
      <c r="AM52" s="67" t="n"/>
      <c r="AN52" s="5" t="n"/>
      <c r="AO52" s="6" t="n"/>
      <c r="AP52" s="67" t="n"/>
      <c r="AQ52" s="6" t="n"/>
      <c r="AR52" s="66" t="n"/>
      <c r="AS52" s="5" t="n"/>
      <c r="AT52" s="6" t="n"/>
      <c r="AU52" s="67" t="n"/>
      <c r="AV52" s="6" t="n"/>
      <c r="AW52" s="67" t="n"/>
      <c r="AX52" s="6" t="n"/>
      <c r="AY52" s="67" t="n"/>
      <c r="AZ52" s="6" t="n"/>
      <c r="BA52" s="67" t="n"/>
      <c r="BB52" s="5" t="n"/>
      <c r="BC52" s="6" t="n"/>
      <c r="BD52" s="67" t="n"/>
      <c r="BE52" s="6" t="n"/>
      <c r="BF52" s="66" t="n"/>
      <c r="BG52" s="5" t="n"/>
      <c r="BH52" s="6" t="n"/>
      <c r="BI52" s="68" t="n"/>
      <c r="BJ52" s="5" t="n"/>
      <c r="BK52" s="42" t="n"/>
    </row>
    <row r="53" ht="20" customHeight="1">
      <c r="A53" s="61" t="n"/>
      <c r="B53" s="6" t="n"/>
      <c r="C53" s="62" t="n"/>
      <c r="D53" s="5" t="n"/>
      <c r="E53" s="5" t="n"/>
      <c r="F53" s="6" t="n"/>
      <c r="G53" s="62" t="n"/>
      <c r="H53" s="5" t="n"/>
      <c r="I53" s="6" t="n"/>
      <c r="J53" s="62" t="n"/>
      <c r="K53" s="5" t="n"/>
      <c r="L53" s="6" t="n"/>
      <c r="M53" s="62" t="n"/>
      <c r="N53" s="5" t="n"/>
      <c r="O53" s="5" t="n"/>
      <c r="P53" s="5" t="n"/>
      <c r="Q53" s="6" t="n"/>
      <c r="R53" s="62" t="n"/>
      <c r="S53" s="5" t="n"/>
      <c r="T53" s="5" t="n"/>
      <c r="U53" s="5" t="n"/>
      <c r="V53" s="5" t="n"/>
      <c r="W53" s="5" t="n"/>
      <c r="X53" s="6" t="n"/>
      <c r="Y53" s="62" t="n"/>
      <c r="Z53" s="5" t="n"/>
      <c r="AA53" s="5" t="n"/>
      <c r="AB53" s="5" t="n"/>
      <c r="AC53" s="5" t="n"/>
      <c r="AD53" s="6" t="n"/>
      <c r="AE53" s="63" t="n"/>
      <c r="AF53" s="6" t="n"/>
      <c r="AG53" s="63" t="n"/>
      <c r="AH53" s="6" t="n"/>
      <c r="AI53" s="63" t="n"/>
      <c r="AJ53" s="6" t="n"/>
      <c r="AK53" s="63" t="n"/>
      <c r="AL53" s="6" t="n"/>
      <c r="AM53" s="63" t="n"/>
      <c r="AN53" s="5" t="n"/>
      <c r="AO53" s="6" t="n"/>
      <c r="AP53" s="63" t="n"/>
      <c r="AQ53" s="6" t="n"/>
      <c r="AR53" s="62" t="n"/>
      <c r="AS53" s="5" t="n"/>
      <c r="AT53" s="6" t="n"/>
      <c r="AU53" s="63" t="n"/>
      <c r="AV53" s="6" t="n"/>
      <c r="AW53" s="63" t="n"/>
      <c r="AX53" s="6" t="n"/>
      <c r="AY53" s="63" t="n"/>
      <c r="AZ53" s="6" t="n"/>
      <c r="BA53" s="63" t="n"/>
      <c r="BB53" s="5" t="n"/>
      <c r="BC53" s="6" t="n"/>
      <c r="BD53" s="63" t="n"/>
      <c r="BE53" s="6" t="n"/>
      <c r="BF53" s="62" t="n"/>
      <c r="BG53" s="5" t="n"/>
      <c r="BH53" s="6" t="n"/>
      <c r="BI53" s="64" t="n"/>
      <c r="BJ53" s="5" t="n"/>
      <c r="BK53" s="42" t="n"/>
    </row>
    <row r="54" ht="20" customHeight="1">
      <c r="A54" s="65" t="n"/>
      <c r="B54" s="6" t="n"/>
      <c r="C54" s="66" t="n"/>
      <c r="D54" s="5" t="n"/>
      <c r="E54" s="5" t="n"/>
      <c r="F54" s="6" t="n"/>
      <c r="G54" s="66" t="n"/>
      <c r="H54" s="5" t="n"/>
      <c r="I54" s="6" t="n"/>
      <c r="J54" s="66" t="n"/>
      <c r="K54" s="5" t="n"/>
      <c r="L54" s="6" t="n"/>
      <c r="M54" s="66" t="n"/>
      <c r="N54" s="5" t="n"/>
      <c r="O54" s="5" t="n"/>
      <c r="P54" s="5" t="n"/>
      <c r="Q54" s="6" t="n"/>
      <c r="R54" s="66" t="n"/>
      <c r="S54" s="5" t="n"/>
      <c r="T54" s="5" t="n"/>
      <c r="U54" s="5" t="n"/>
      <c r="V54" s="5" t="n"/>
      <c r="W54" s="5" t="n"/>
      <c r="X54" s="6" t="n"/>
      <c r="Y54" s="66" t="n"/>
      <c r="Z54" s="5" t="n"/>
      <c r="AA54" s="5" t="n"/>
      <c r="AB54" s="5" t="n"/>
      <c r="AC54" s="5" t="n"/>
      <c r="AD54" s="6" t="n"/>
      <c r="AE54" s="67" t="n"/>
      <c r="AF54" s="6" t="n"/>
      <c r="AG54" s="67" t="n"/>
      <c r="AH54" s="6" t="n"/>
      <c r="AI54" s="67" t="n"/>
      <c r="AJ54" s="6" t="n"/>
      <c r="AK54" s="67" t="n"/>
      <c r="AL54" s="6" t="n"/>
      <c r="AM54" s="67" t="n"/>
      <c r="AN54" s="5" t="n"/>
      <c r="AO54" s="6" t="n"/>
      <c r="AP54" s="67" t="n"/>
      <c r="AQ54" s="6" t="n"/>
      <c r="AR54" s="66" t="n"/>
      <c r="AS54" s="5" t="n"/>
      <c r="AT54" s="6" t="n"/>
      <c r="AU54" s="67" t="n"/>
      <c r="AV54" s="6" t="n"/>
      <c r="AW54" s="67" t="n"/>
      <c r="AX54" s="6" t="n"/>
      <c r="AY54" s="67" t="n"/>
      <c r="AZ54" s="6" t="n"/>
      <c r="BA54" s="67" t="n"/>
      <c r="BB54" s="5" t="n"/>
      <c r="BC54" s="6" t="n"/>
      <c r="BD54" s="67" t="n"/>
      <c r="BE54" s="6" t="n"/>
      <c r="BF54" s="66" t="n"/>
      <c r="BG54" s="5" t="n"/>
      <c r="BH54" s="6" t="n"/>
      <c r="BI54" s="68" t="n"/>
      <c r="BJ54" s="5" t="n"/>
      <c r="BK54" s="42" t="n"/>
    </row>
    <row r="55" ht="20" customHeight="1">
      <c r="A55" s="61" t="n"/>
      <c r="B55" s="6" t="n"/>
      <c r="C55" s="62" t="n"/>
      <c r="D55" s="5" t="n"/>
      <c r="E55" s="5" t="n"/>
      <c r="F55" s="6" t="n"/>
      <c r="G55" s="62" t="n"/>
      <c r="H55" s="5" t="n"/>
      <c r="I55" s="6" t="n"/>
      <c r="J55" s="62" t="n"/>
      <c r="K55" s="5" t="n"/>
      <c r="L55" s="6" t="n"/>
      <c r="M55" s="62" t="n"/>
      <c r="N55" s="5" t="n"/>
      <c r="O55" s="5" t="n"/>
      <c r="P55" s="5" t="n"/>
      <c r="Q55" s="6" t="n"/>
      <c r="R55" s="62" t="n"/>
      <c r="S55" s="5" t="n"/>
      <c r="T55" s="5" t="n"/>
      <c r="U55" s="5" t="n"/>
      <c r="V55" s="5" t="n"/>
      <c r="W55" s="5" t="n"/>
      <c r="X55" s="6" t="n"/>
      <c r="Y55" s="62" t="n"/>
      <c r="Z55" s="5" t="n"/>
      <c r="AA55" s="5" t="n"/>
      <c r="AB55" s="5" t="n"/>
      <c r="AC55" s="5" t="n"/>
      <c r="AD55" s="6" t="n"/>
      <c r="AE55" s="63" t="n"/>
      <c r="AF55" s="6" t="n"/>
      <c r="AG55" s="63" t="n"/>
      <c r="AH55" s="6" t="n"/>
      <c r="AI55" s="63" t="n"/>
      <c r="AJ55" s="6" t="n"/>
      <c r="AK55" s="63" t="n"/>
      <c r="AL55" s="6" t="n"/>
      <c r="AM55" s="63" t="n"/>
      <c r="AN55" s="5" t="n"/>
      <c r="AO55" s="6" t="n"/>
      <c r="AP55" s="63" t="n"/>
      <c r="AQ55" s="6" t="n"/>
      <c r="AR55" s="62" t="n"/>
      <c r="AS55" s="5" t="n"/>
      <c r="AT55" s="6" t="n"/>
      <c r="AU55" s="63" t="n"/>
      <c r="AV55" s="6" t="n"/>
      <c r="AW55" s="63" t="n"/>
      <c r="AX55" s="6" t="n"/>
      <c r="AY55" s="63" t="n"/>
      <c r="AZ55" s="6" t="n"/>
      <c r="BA55" s="63" t="n"/>
      <c r="BB55" s="5" t="n"/>
      <c r="BC55" s="6" t="n"/>
      <c r="BD55" s="63" t="n"/>
      <c r="BE55" s="6" t="n"/>
      <c r="BF55" s="62" t="n"/>
      <c r="BG55" s="5" t="n"/>
      <c r="BH55" s="6" t="n"/>
      <c r="BI55" s="64" t="n"/>
      <c r="BJ55" s="5" t="n"/>
      <c r="BK55" s="42" t="n"/>
    </row>
    <row r="56" ht="20" customHeight="1">
      <c r="A56" s="65" t="n"/>
      <c r="B56" s="6" t="n"/>
      <c r="C56" s="66" t="n"/>
      <c r="D56" s="5" t="n"/>
      <c r="E56" s="5" t="n"/>
      <c r="F56" s="6" t="n"/>
      <c r="G56" s="66" t="n"/>
      <c r="H56" s="5" t="n"/>
      <c r="I56" s="6" t="n"/>
      <c r="J56" s="66" t="n"/>
      <c r="K56" s="5" t="n"/>
      <c r="L56" s="6" t="n"/>
      <c r="M56" s="66" t="n"/>
      <c r="N56" s="5" t="n"/>
      <c r="O56" s="5" t="n"/>
      <c r="P56" s="5" t="n"/>
      <c r="Q56" s="6" t="n"/>
      <c r="R56" s="66" t="n"/>
      <c r="S56" s="5" t="n"/>
      <c r="T56" s="5" t="n"/>
      <c r="U56" s="5" t="n"/>
      <c r="V56" s="5" t="n"/>
      <c r="W56" s="5" t="n"/>
      <c r="X56" s="6" t="n"/>
      <c r="Y56" s="66" t="n"/>
      <c r="Z56" s="5" t="n"/>
      <c r="AA56" s="5" t="n"/>
      <c r="AB56" s="5" t="n"/>
      <c r="AC56" s="5" t="n"/>
      <c r="AD56" s="6" t="n"/>
      <c r="AE56" s="67" t="n"/>
      <c r="AF56" s="6" t="n"/>
      <c r="AG56" s="67" t="n"/>
      <c r="AH56" s="6" t="n"/>
      <c r="AI56" s="67" t="n"/>
      <c r="AJ56" s="6" t="n"/>
      <c r="AK56" s="67" t="n"/>
      <c r="AL56" s="6" t="n"/>
      <c r="AM56" s="67" t="n"/>
      <c r="AN56" s="5" t="n"/>
      <c r="AO56" s="6" t="n"/>
      <c r="AP56" s="67" t="n"/>
      <c r="AQ56" s="6" t="n"/>
      <c r="AR56" s="66" t="n"/>
      <c r="AS56" s="5" t="n"/>
      <c r="AT56" s="6" t="n"/>
      <c r="AU56" s="67" t="n"/>
      <c r="AV56" s="6" t="n"/>
      <c r="AW56" s="67" t="n"/>
      <c r="AX56" s="6" t="n"/>
      <c r="AY56" s="67" t="n"/>
      <c r="AZ56" s="6" t="n"/>
      <c r="BA56" s="67" t="n"/>
      <c r="BB56" s="5" t="n"/>
      <c r="BC56" s="6" t="n"/>
      <c r="BD56" s="67" t="n"/>
      <c r="BE56" s="6" t="n"/>
      <c r="BF56" s="66" t="n"/>
      <c r="BG56" s="5" t="n"/>
      <c r="BH56" s="6" t="n"/>
      <c r="BI56" s="68" t="n"/>
      <c r="BJ56" s="5" t="n"/>
      <c r="BK56" s="42" t="n"/>
    </row>
    <row r="57" ht="20" customHeight="1">
      <c r="A57" s="61" t="n"/>
      <c r="B57" s="6" t="n"/>
      <c r="C57" s="62" t="n"/>
      <c r="D57" s="5" t="n"/>
      <c r="E57" s="5" t="n"/>
      <c r="F57" s="6" t="n"/>
      <c r="G57" s="62" t="n"/>
      <c r="H57" s="5" t="n"/>
      <c r="I57" s="6" t="n"/>
      <c r="J57" s="62" t="n"/>
      <c r="K57" s="5" t="n"/>
      <c r="L57" s="6" t="n"/>
      <c r="M57" s="62" t="n"/>
      <c r="N57" s="5" t="n"/>
      <c r="O57" s="5" t="n"/>
      <c r="P57" s="5" t="n"/>
      <c r="Q57" s="6" t="n"/>
      <c r="R57" s="62" t="n"/>
      <c r="S57" s="5" t="n"/>
      <c r="T57" s="5" t="n"/>
      <c r="U57" s="5" t="n"/>
      <c r="V57" s="5" t="n"/>
      <c r="W57" s="5" t="n"/>
      <c r="X57" s="6" t="n"/>
      <c r="Y57" s="62" t="n"/>
      <c r="Z57" s="5" t="n"/>
      <c r="AA57" s="5" t="n"/>
      <c r="AB57" s="5" t="n"/>
      <c r="AC57" s="5" t="n"/>
      <c r="AD57" s="6" t="n"/>
      <c r="AE57" s="63" t="n"/>
      <c r="AF57" s="6" t="n"/>
      <c r="AG57" s="63" t="n"/>
      <c r="AH57" s="6" t="n"/>
      <c r="AI57" s="63" t="n"/>
      <c r="AJ57" s="6" t="n"/>
      <c r="AK57" s="63" t="n"/>
      <c r="AL57" s="6" t="n"/>
      <c r="AM57" s="63" t="n"/>
      <c r="AN57" s="5" t="n"/>
      <c r="AO57" s="6" t="n"/>
      <c r="AP57" s="63" t="n"/>
      <c r="AQ57" s="6" t="n"/>
      <c r="AR57" s="62" t="n"/>
      <c r="AS57" s="5" t="n"/>
      <c r="AT57" s="6" t="n"/>
      <c r="AU57" s="63" t="n"/>
      <c r="AV57" s="6" t="n"/>
      <c r="AW57" s="63" t="n"/>
      <c r="AX57" s="6" t="n"/>
      <c r="AY57" s="63" t="n"/>
      <c r="AZ57" s="6" t="n"/>
      <c r="BA57" s="63" t="n"/>
      <c r="BB57" s="5" t="n"/>
      <c r="BC57" s="6" t="n"/>
      <c r="BD57" s="63" t="n"/>
      <c r="BE57" s="6" t="n"/>
      <c r="BF57" s="62" t="n"/>
      <c r="BG57" s="5" t="n"/>
      <c r="BH57" s="6" t="n"/>
      <c r="BI57" s="64" t="n"/>
      <c r="BJ57" s="5" t="n"/>
      <c r="BK57" s="42" t="n"/>
    </row>
    <row r="58" ht="20" customHeight="1">
      <c r="A58" s="65" t="n"/>
      <c r="B58" s="6" t="n"/>
      <c r="C58" s="66" t="n"/>
      <c r="D58" s="5" t="n"/>
      <c r="E58" s="5" t="n"/>
      <c r="F58" s="6" t="n"/>
      <c r="G58" s="66" t="n"/>
      <c r="H58" s="5" t="n"/>
      <c r="I58" s="6" t="n"/>
      <c r="J58" s="66" t="n"/>
      <c r="K58" s="5" t="n"/>
      <c r="L58" s="6" t="n"/>
      <c r="M58" s="66" t="n"/>
      <c r="N58" s="5" t="n"/>
      <c r="O58" s="5" t="n"/>
      <c r="P58" s="5" t="n"/>
      <c r="Q58" s="6" t="n"/>
      <c r="R58" s="66" t="n"/>
      <c r="S58" s="5" t="n"/>
      <c r="T58" s="5" t="n"/>
      <c r="U58" s="5" t="n"/>
      <c r="V58" s="5" t="n"/>
      <c r="W58" s="5" t="n"/>
      <c r="X58" s="6" t="n"/>
      <c r="Y58" s="66" t="n"/>
      <c r="Z58" s="5" t="n"/>
      <c r="AA58" s="5" t="n"/>
      <c r="AB58" s="5" t="n"/>
      <c r="AC58" s="5" t="n"/>
      <c r="AD58" s="6" t="n"/>
      <c r="AE58" s="67" t="n"/>
      <c r="AF58" s="6" t="n"/>
      <c r="AG58" s="67" t="n"/>
      <c r="AH58" s="6" t="n"/>
      <c r="AI58" s="67" t="n"/>
      <c r="AJ58" s="6" t="n"/>
      <c r="AK58" s="67" t="n"/>
      <c r="AL58" s="6" t="n"/>
      <c r="AM58" s="67" t="n"/>
      <c r="AN58" s="5" t="n"/>
      <c r="AO58" s="6" t="n"/>
      <c r="AP58" s="67" t="n"/>
      <c r="AQ58" s="6" t="n"/>
      <c r="AR58" s="66" t="n"/>
      <c r="AS58" s="5" t="n"/>
      <c r="AT58" s="6" t="n"/>
      <c r="AU58" s="67" t="n"/>
      <c r="AV58" s="6" t="n"/>
      <c r="AW58" s="67" t="n"/>
      <c r="AX58" s="6" t="n"/>
      <c r="AY58" s="67" t="n"/>
      <c r="AZ58" s="6" t="n"/>
      <c r="BA58" s="67" t="n"/>
      <c r="BB58" s="5" t="n"/>
      <c r="BC58" s="6" t="n"/>
      <c r="BD58" s="67" t="n"/>
      <c r="BE58" s="6" t="n"/>
      <c r="BF58" s="66" t="n"/>
      <c r="BG58" s="5" t="n"/>
      <c r="BH58" s="6" t="n"/>
      <c r="BI58" s="68" t="n"/>
      <c r="BJ58" s="5" t="n"/>
      <c r="BK58" s="42" t="n"/>
    </row>
    <row r="59" ht="20" customHeight="1">
      <c r="A59" s="61" t="n"/>
      <c r="B59" s="6" t="n"/>
      <c r="C59" s="62" t="n"/>
      <c r="D59" s="5" t="n"/>
      <c r="E59" s="5" t="n"/>
      <c r="F59" s="6" t="n"/>
      <c r="G59" s="62" t="n"/>
      <c r="H59" s="5" t="n"/>
      <c r="I59" s="6" t="n"/>
      <c r="J59" s="62" t="n"/>
      <c r="K59" s="5" t="n"/>
      <c r="L59" s="6" t="n"/>
      <c r="M59" s="62" t="n"/>
      <c r="N59" s="5" t="n"/>
      <c r="O59" s="5" t="n"/>
      <c r="P59" s="5" t="n"/>
      <c r="Q59" s="6" t="n"/>
      <c r="R59" s="62" t="n"/>
      <c r="S59" s="5" t="n"/>
      <c r="T59" s="5" t="n"/>
      <c r="U59" s="5" t="n"/>
      <c r="V59" s="5" t="n"/>
      <c r="W59" s="5" t="n"/>
      <c r="X59" s="6" t="n"/>
      <c r="Y59" s="62" t="n"/>
      <c r="Z59" s="5" t="n"/>
      <c r="AA59" s="5" t="n"/>
      <c r="AB59" s="5" t="n"/>
      <c r="AC59" s="5" t="n"/>
      <c r="AD59" s="6" t="n"/>
      <c r="AE59" s="63" t="n"/>
      <c r="AF59" s="6" t="n"/>
      <c r="AG59" s="63" t="n"/>
      <c r="AH59" s="6" t="n"/>
      <c r="AI59" s="63" t="n"/>
      <c r="AJ59" s="6" t="n"/>
      <c r="AK59" s="63" t="n"/>
      <c r="AL59" s="6" t="n"/>
      <c r="AM59" s="63" t="n"/>
      <c r="AN59" s="5" t="n"/>
      <c r="AO59" s="6" t="n"/>
      <c r="AP59" s="63" t="n"/>
      <c r="AQ59" s="6" t="n"/>
      <c r="AR59" s="62" t="n"/>
      <c r="AS59" s="5" t="n"/>
      <c r="AT59" s="6" t="n"/>
      <c r="AU59" s="63" t="n"/>
      <c r="AV59" s="6" t="n"/>
      <c r="AW59" s="63" t="n"/>
      <c r="AX59" s="6" t="n"/>
      <c r="AY59" s="63" t="n"/>
      <c r="AZ59" s="6" t="n"/>
      <c r="BA59" s="63" t="n"/>
      <c r="BB59" s="5" t="n"/>
      <c r="BC59" s="6" t="n"/>
      <c r="BD59" s="63" t="n"/>
      <c r="BE59" s="6" t="n"/>
      <c r="BF59" s="62" t="n"/>
      <c r="BG59" s="5" t="n"/>
      <c r="BH59" s="6" t="n"/>
      <c r="BI59" s="64" t="n"/>
      <c r="BJ59" s="5" t="n"/>
      <c r="BK59" s="42" t="n"/>
    </row>
    <row r="60" ht="20" customHeight="1">
      <c r="A60" s="65" t="n"/>
      <c r="B60" s="6" t="n"/>
      <c r="C60" s="66" t="n"/>
      <c r="D60" s="5" t="n"/>
      <c r="E60" s="5" t="n"/>
      <c r="F60" s="6" t="n"/>
      <c r="G60" s="66" t="n"/>
      <c r="H60" s="5" t="n"/>
      <c r="I60" s="6" t="n"/>
      <c r="J60" s="66" t="n"/>
      <c r="K60" s="5" t="n"/>
      <c r="L60" s="6" t="n"/>
      <c r="M60" s="66" t="n"/>
      <c r="N60" s="5" t="n"/>
      <c r="O60" s="5" t="n"/>
      <c r="P60" s="5" t="n"/>
      <c r="Q60" s="6" t="n"/>
      <c r="R60" s="66" t="n"/>
      <c r="S60" s="5" t="n"/>
      <c r="T60" s="5" t="n"/>
      <c r="U60" s="5" t="n"/>
      <c r="V60" s="5" t="n"/>
      <c r="W60" s="5" t="n"/>
      <c r="X60" s="6" t="n"/>
      <c r="Y60" s="66" t="n"/>
      <c r="Z60" s="5" t="n"/>
      <c r="AA60" s="5" t="n"/>
      <c r="AB60" s="5" t="n"/>
      <c r="AC60" s="5" t="n"/>
      <c r="AD60" s="6" t="n"/>
      <c r="AE60" s="67" t="n"/>
      <c r="AF60" s="6" t="n"/>
      <c r="AG60" s="67" t="n"/>
      <c r="AH60" s="6" t="n"/>
      <c r="AI60" s="67" t="n"/>
      <c r="AJ60" s="6" t="n"/>
      <c r="AK60" s="67" t="n"/>
      <c r="AL60" s="6" t="n"/>
      <c r="AM60" s="67" t="n"/>
      <c r="AN60" s="5" t="n"/>
      <c r="AO60" s="6" t="n"/>
      <c r="AP60" s="67" t="n"/>
      <c r="AQ60" s="6" t="n"/>
      <c r="AR60" s="66" t="n"/>
      <c r="AS60" s="5" t="n"/>
      <c r="AT60" s="6" t="n"/>
      <c r="AU60" s="67" t="n"/>
      <c r="AV60" s="6" t="n"/>
      <c r="AW60" s="67" t="n"/>
      <c r="AX60" s="6" t="n"/>
      <c r="AY60" s="67" t="n"/>
      <c r="AZ60" s="6" t="n"/>
      <c r="BA60" s="67" t="n"/>
      <c r="BB60" s="5" t="n"/>
      <c r="BC60" s="6" t="n"/>
      <c r="BD60" s="67" t="n"/>
      <c r="BE60" s="6" t="n"/>
      <c r="BF60" s="66" t="n"/>
      <c r="BG60" s="5" t="n"/>
      <c r="BH60" s="6" t="n"/>
      <c r="BI60" s="68" t="n"/>
      <c r="BJ60" s="5" t="n"/>
      <c r="BK60" s="42" t="n"/>
    </row>
    <row r="61" ht="20" customHeight="1">
      <c r="A61" s="61" t="n"/>
      <c r="B61" s="6" t="n"/>
      <c r="C61" s="62" t="n"/>
      <c r="D61" s="5" t="n"/>
      <c r="E61" s="5" t="n"/>
      <c r="F61" s="6" t="n"/>
      <c r="G61" s="62" t="n"/>
      <c r="H61" s="5" t="n"/>
      <c r="I61" s="6" t="n"/>
      <c r="J61" s="62" t="n"/>
      <c r="K61" s="5" t="n"/>
      <c r="L61" s="6" t="n"/>
      <c r="M61" s="62" t="n"/>
      <c r="N61" s="5" t="n"/>
      <c r="O61" s="5" t="n"/>
      <c r="P61" s="5" t="n"/>
      <c r="Q61" s="6" t="n"/>
      <c r="R61" s="62" t="n"/>
      <c r="S61" s="5" t="n"/>
      <c r="T61" s="5" t="n"/>
      <c r="U61" s="5" t="n"/>
      <c r="V61" s="5" t="n"/>
      <c r="W61" s="5" t="n"/>
      <c r="X61" s="6" t="n"/>
      <c r="Y61" s="62" t="n"/>
      <c r="Z61" s="5" t="n"/>
      <c r="AA61" s="5" t="n"/>
      <c r="AB61" s="5" t="n"/>
      <c r="AC61" s="5" t="n"/>
      <c r="AD61" s="6" t="n"/>
      <c r="AE61" s="63" t="n"/>
      <c r="AF61" s="6" t="n"/>
      <c r="AG61" s="63" t="n"/>
      <c r="AH61" s="6" t="n"/>
      <c r="AI61" s="63" t="n"/>
      <c r="AJ61" s="6" t="n"/>
      <c r="AK61" s="63" t="n"/>
      <c r="AL61" s="6" t="n"/>
      <c r="AM61" s="63" t="n"/>
      <c r="AN61" s="5" t="n"/>
      <c r="AO61" s="6" t="n"/>
      <c r="AP61" s="63" t="n"/>
      <c r="AQ61" s="6" t="n"/>
      <c r="AR61" s="62" t="n"/>
      <c r="AS61" s="5" t="n"/>
      <c r="AT61" s="6" t="n"/>
      <c r="AU61" s="63" t="n"/>
      <c r="AV61" s="6" t="n"/>
      <c r="AW61" s="63" t="n"/>
      <c r="AX61" s="6" t="n"/>
      <c r="AY61" s="63" t="n"/>
      <c r="AZ61" s="6" t="n"/>
      <c r="BA61" s="63" t="n"/>
      <c r="BB61" s="5" t="n"/>
      <c r="BC61" s="6" t="n"/>
      <c r="BD61" s="63" t="n"/>
      <c r="BE61" s="6" t="n"/>
      <c r="BF61" s="62" t="n"/>
      <c r="BG61" s="5" t="n"/>
      <c r="BH61" s="6" t="n"/>
      <c r="BI61" s="64" t="n"/>
      <c r="BJ61" s="5" t="n"/>
      <c r="BK61" s="42" t="n"/>
    </row>
    <row r="62" ht="20" customHeight="1">
      <c r="A62" s="65" t="n"/>
      <c r="B62" s="6" t="n"/>
      <c r="C62" s="66" t="n"/>
      <c r="D62" s="5" t="n"/>
      <c r="E62" s="5" t="n"/>
      <c r="F62" s="6" t="n"/>
      <c r="G62" s="66" t="n"/>
      <c r="H62" s="5" t="n"/>
      <c r="I62" s="6" t="n"/>
      <c r="J62" s="66" t="n"/>
      <c r="K62" s="5" t="n"/>
      <c r="L62" s="6" t="n"/>
      <c r="M62" s="66" t="n"/>
      <c r="N62" s="5" t="n"/>
      <c r="O62" s="5" t="n"/>
      <c r="P62" s="5" t="n"/>
      <c r="Q62" s="6" t="n"/>
      <c r="R62" s="66" t="n"/>
      <c r="S62" s="5" t="n"/>
      <c r="T62" s="5" t="n"/>
      <c r="U62" s="5" t="n"/>
      <c r="V62" s="5" t="n"/>
      <c r="W62" s="5" t="n"/>
      <c r="X62" s="6" t="n"/>
      <c r="Y62" s="66" t="n"/>
      <c r="Z62" s="5" t="n"/>
      <c r="AA62" s="5" t="n"/>
      <c r="AB62" s="5" t="n"/>
      <c r="AC62" s="5" t="n"/>
      <c r="AD62" s="6" t="n"/>
      <c r="AE62" s="67" t="n"/>
      <c r="AF62" s="6" t="n"/>
      <c r="AG62" s="67" t="n"/>
      <c r="AH62" s="6" t="n"/>
      <c r="AI62" s="67" t="n"/>
      <c r="AJ62" s="6" t="n"/>
      <c r="AK62" s="67" t="n"/>
      <c r="AL62" s="6" t="n"/>
      <c r="AM62" s="67" t="n"/>
      <c r="AN62" s="5" t="n"/>
      <c r="AO62" s="6" t="n"/>
      <c r="AP62" s="67" t="n"/>
      <c r="AQ62" s="6" t="n"/>
      <c r="AR62" s="66" t="n"/>
      <c r="AS62" s="5" t="n"/>
      <c r="AT62" s="6" t="n"/>
      <c r="AU62" s="67" t="n"/>
      <c r="AV62" s="6" t="n"/>
      <c r="AW62" s="67" t="n"/>
      <c r="AX62" s="6" t="n"/>
      <c r="AY62" s="67" t="n"/>
      <c r="AZ62" s="6" t="n"/>
      <c r="BA62" s="67" t="n"/>
      <c r="BB62" s="5" t="n"/>
      <c r="BC62" s="6" t="n"/>
      <c r="BD62" s="67" t="n"/>
      <c r="BE62" s="6" t="n"/>
      <c r="BF62" s="66" t="n"/>
      <c r="BG62" s="5" t="n"/>
      <c r="BH62" s="6" t="n"/>
      <c r="BI62" s="68" t="n"/>
      <c r="BJ62" s="5" t="n"/>
      <c r="BK62" s="42" t="n"/>
    </row>
    <row r="63" ht="20" customHeight="1">
      <c r="A63" s="61" t="n"/>
      <c r="B63" s="6" t="n"/>
      <c r="C63" s="62" t="n"/>
      <c r="D63" s="5" t="n"/>
      <c r="E63" s="5" t="n"/>
      <c r="F63" s="6" t="n"/>
      <c r="G63" s="62" t="n"/>
      <c r="H63" s="5" t="n"/>
      <c r="I63" s="6" t="n"/>
      <c r="J63" s="62" t="n"/>
      <c r="K63" s="5" t="n"/>
      <c r="L63" s="6" t="n"/>
      <c r="M63" s="62" t="n"/>
      <c r="N63" s="5" t="n"/>
      <c r="O63" s="5" t="n"/>
      <c r="P63" s="5" t="n"/>
      <c r="Q63" s="6" t="n"/>
      <c r="R63" s="62" t="n"/>
      <c r="S63" s="5" t="n"/>
      <c r="T63" s="5" t="n"/>
      <c r="U63" s="5" t="n"/>
      <c r="V63" s="5" t="n"/>
      <c r="W63" s="5" t="n"/>
      <c r="X63" s="6" t="n"/>
      <c r="Y63" s="62" t="n"/>
      <c r="Z63" s="5" t="n"/>
      <c r="AA63" s="5" t="n"/>
      <c r="AB63" s="5" t="n"/>
      <c r="AC63" s="5" t="n"/>
      <c r="AD63" s="6" t="n"/>
      <c r="AE63" s="63" t="n"/>
      <c r="AF63" s="6" t="n"/>
      <c r="AG63" s="63" t="n"/>
      <c r="AH63" s="6" t="n"/>
      <c r="AI63" s="63" t="n"/>
      <c r="AJ63" s="6" t="n"/>
      <c r="AK63" s="63" t="n"/>
      <c r="AL63" s="6" t="n"/>
      <c r="AM63" s="63" t="n"/>
      <c r="AN63" s="5" t="n"/>
      <c r="AO63" s="6" t="n"/>
      <c r="AP63" s="63" t="n"/>
      <c r="AQ63" s="6" t="n"/>
      <c r="AR63" s="62" t="n"/>
      <c r="AS63" s="5" t="n"/>
      <c r="AT63" s="6" t="n"/>
      <c r="AU63" s="63" t="n"/>
      <c r="AV63" s="6" t="n"/>
      <c r="AW63" s="63" t="n"/>
      <c r="AX63" s="6" t="n"/>
      <c r="AY63" s="63" t="n"/>
      <c r="AZ63" s="6" t="n"/>
      <c r="BA63" s="63" t="n"/>
      <c r="BB63" s="5" t="n"/>
      <c r="BC63" s="6" t="n"/>
      <c r="BD63" s="63" t="n"/>
      <c r="BE63" s="6" t="n"/>
      <c r="BF63" s="62" t="n"/>
      <c r="BG63" s="5" t="n"/>
      <c r="BH63" s="6" t="n"/>
      <c r="BI63" s="64" t="n"/>
      <c r="BJ63" s="5" t="n"/>
      <c r="BK63" s="42" t="n"/>
    </row>
    <row r="64" ht="20" customHeight="1">
      <c r="A64" s="65" t="n"/>
      <c r="B64" s="6" t="n"/>
      <c r="C64" s="66" t="n"/>
      <c r="D64" s="5" t="n"/>
      <c r="E64" s="5" t="n"/>
      <c r="F64" s="6" t="n"/>
      <c r="G64" s="66" t="n"/>
      <c r="H64" s="5" t="n"/>
      <c r="I64" s="6" t="n"/>
      <c r="J64" s="66" t="n"/>
      <c r="K64" s="5" t="n"/>
      <c r="L64" s="6" t="n"/>
      <c r="M64" s="66" t="n"/>
      <c r="N64" s="5" t="n"/>
      <c r="O64" s="5" t="n"/>
      <c r="P64" s="5" t="n"/>
      <c r="Q64" s="6" t="n"/>
      <c r="R64" s="66" t="n"/>
      <c r="S64" s="5" t="n"/>
      <c r="T64" s="5" t="n"/>
      <c r="U64" s="5" t="n"/>
      <c r="V64" s="5" t="n"/>
      <c r="W64" s="5" t="n"/>
      <c r="X64" s="6" t="n"/>
      <c r="Y64" s="66" t="n"/>
      <c r="Z64" s="5" t="n"/>
      <c r="AA64" s="5" t="n"/>
      <c r="AB64" s="5" t="n"/>
      <c r="AC64" s="5" t="n"/>
      <c r="AD64" s="6" t="n"/>
      <c r="AE64" s="67" t="n"/>
      <c r="AF64" s="6" t="n"/>
      <c r="AG64" s="67" t="n"/>
      <c r="AH64" s="6" t="n"/>
      <c r="AI64" s="67" t="n"/>
      <c r="AJ64" s="6" t="n"/>
      <c r="AK64" s="67" t="n"/>
      <c r="AL64" s="6" t="n"/>
      <c r="AM64" s="67" t="n"/>
      <c r="AN64" s="5" t="n"/>
      <c r="AO64" s="6" t="n"/>
      <c r="AP64" s="67" t="n"/>
      <c r="AQ64" s="6" t="n"/>
      <c r="AR64" s="66" t="n"/>
      <c r="AS64" s="5" t="n"/>
      <c r="AT64" s="6" t="n"/>
      <c r="AU64" s="67" t="n"/>
      <c r="AV64" s="6" t="n"/>
      <c r="AW64" s="67" t="n"/>
      <c r="AX64" s="6" t="n"/>
      <c r="AY64" s="67" t="n"/>
      <c r="AZ64" s="6" t="n"/>
      <c r="BA64" s="67" t="n"/>
      <c r="BB64" s="5" t="n"/>
      <c r="BC64" s="6" t="n"/>
      <c r="BD64" s="67" t="n"/>
      <c r="BE64" s="6" t="n"/>
      <c r="BF64" s="66" t="n"/>
      <c r="BG64" s="5" t="n"/>
      <c r="BH64" s="6" t="n"/>
      <c r="BI64" s="68" t="n"/>
      <c r="BJ64" s="5" t="n"/>
      <c r="BK64" s="42" t="n"/>
    </row>
    <row r="65" ht="20" customHeight="1">
      <c r="A65" s="61" t="n"/>
      <c r="B65" s="6" t="n"/>
      <c r="C65" s="62" t="n"/>
      <c r="D65" s="5" t="n"/>
      <c r="E65" s="5" t="n"/>
      <c r="F65" s="6" t="n"/>
      <c r="G65" s="62" t="n"/>
      <c r="H65" s="5" t="n"/>
      <c r="I65" s="6" t="n"/>
      <c r="J65" s="62" t="n"/>
      <c r="K65" s="5" t="n"/>
      <c r="L65" s="6" t="n"/>
      <c r="M65" s="62" t="n"/>
      <c r="N65" s="5" t="n"/>
      <c r="O65" s="5" t="n"/>
      <c r="P65" s="5" t="n"/>
      <c r="Q65" s="6" t="n"/>
      <c r="R65" s="62" t="n"/>
      <c r="S65" s="5" t="n"/>
      <c r="T65" s="5" t="n"/>
      <c r="U65" s="5" t="n"/>
      <c r="V65" s="5" t="n"/>
      <c r="W65" s="5" t="n"/>
      <c r="X65" s="6" t="n"/>
      <c r="Y65" s="62" t="n"/>
      <c r="Z65" s="5" t="n"/>
      <c r="AA65" s="5" t="n"/>
      <c r="AB65" s="5" t="n"/>
      <c r="AC65" s="5" t="n"/>
      <c r="AD65" s="6" t="n"/>
      <c r="AE65" s="63" t="n"/>
      <c r="AF65" s="6" t="n"/>
      <c r="AG65" s="63" t="n"/>
      <c r="AH65" s="6" t="n"/>
      <c r="AI65" s="63" t="n"/>
      <c r="AJ65" s="6" t="n"/>
      <c r="AK65" s="63" t="n"/>
      <c r="AL65" s="6" t="n"/>
      <c r="AM65" s="63" t="n"/>
      <c r="AN65" s="5" t="n"/>
      <c r="AO65" s="6" t="n"/>
      <c r="AP65" s="63" t="n"/>
      <c r="AQ65" s="6" t="n"/>
      <c r="AR65" s="62" t="n"/>
      <c r="AS65" s="5" t="n"/>
      <c r="AT65" s="6" t="n"/>
      <c r="AU65" s="63" t="n"/>
      <c r="AV65" s="6" t="n"/>
      <c r="AW65" s="63" t="n"/>
      <c r="AX65" s="6" t="n"/>
      <c r="AY65" s="63" t="n"/>
      <c r="AZ65" s="6" t="n"/>
      <c r="BA65" s="63" t="n"/>
      <c r="BB65" s="5" t="n"/>
      <c r="BC65" s="6" t="n"/>
      <c r="BD65" s="63" t="n"/>
      <c r="BE65" s="6" t="n"/>
      <c r="BF65" s="62" t="n"/>
      <c r="BG65" s="5" t="n"/>
      <c r="BH65" s="6" t="n"/>
      <c r="BI65" s="64" t="n"/>
      <c r="BJ65" s="5" t="n"/>
      <c r="BK65" s="42" t="n"/>
    </row>
    <row r="66" ht="20" customHeight="1">
      <c r="A66" s="65" t="n"/>
      <c r="B66" s="6" t="n"/>
      <c r="C66" s="66" t="n"/>
      <c r="D66" s="5" t="n"/>
      <c r="E66" s="5" t="n"/>
      <c r="F66" s="6" t="n"/>
      <c r="G66" s="66" t="n"/>
      <c r="H66" s="5" t="n"/>
      <c r="I66" s="6" t="n"/>
      <c r="J66" s="66" t="n"/>
      <c r="K66" s="5" t="n"/>
      <c r="L66" s="6" t="n"/>
      <c r="M66" s="66" t="n"/>
      <c r="N66" s="5" t="n"/>
      <c r="O66" s="5" t="n"/>
      <c r="P66" s="5" t="n"/>
      <c r="Q66" s="6" t="n"/>
      <c r="R66" s="66" t="n"/>
      <c r="S66" s="5" t="n"/>
      <c r="T66" s="5" t="n"/>
      <c r="U66" s="5" t="n"/>
      <c r="V66" s="5" t="n"/>
      <c r="W66" s="5" t="n"/>
      <c r="X66" s="6" t="n"/>
      <c r="Y66" s="66" t="n"/>
      <c r="Z66" s="5" t="n"/>
      <c r="AA66" s="5" t="n"/>
      <c r="AB66" s="5" t="n"/>
      <c r="AC66" s="5" t="n"/>
      <c r="AD66" s="6" t="n"/>
      <c r="AE66" s="67" t="n"/>
      <c r="AF66" s="6" t="n"/>
      <c r="AG66" s="67" t="n"/>
      <c r="AH66" s="6" t="n"/>
      <c r="AI66" s="67" t="n"/>
      <c r="AJ66" s="6" t="n"/>
      <c r="AK66" s="67" t="n"/>
      <c r="AL66" s="6" t="n"/>
      <c r="AM66" s="67" t="n"/>
      <c r="AN66" s="5" t="n"/>
      <c r="AO66" s="6" t="n"/>
      <c r="AP66" s="67" t="n"/>
      <c r="AQ66" s="6" t="n"/>
      <c r="AR66" s="66" t="n"/>
      <c r="AS66" s="5" t="n"/>
      <c r="AT66" s="6" t="n"/>
      <c r="AU66" s="67" t="n"/>
      <c r="AV66" s="6" t="n"/>
      <c r="AW66" s="67" t="n"/>
      <c r="AX66" s="6" t="n"/>
      <c r="AY66" s="67" t="n"/>
      <c r="AZ66" s="6" t="n"/>
      <c r="BA66" s="67" t="n"/>
      <c r="BB66" s="5" t="n"/>
      <c r="BC66" s="6" t="n"/>
      <c r="BD66" s="67" t="n"/>
      <c r="BE66" s="6" t="n"/>
      <c r="BF66" s="66" t="n"/>
      <c r="BG66" s="5" t="n"/>
      <c r="BH66" s="6" t="n"/>
      <c r="BI66" s="68" t="n"/>
      <c r="BJ66" s="5" t="n"/>
      <c r="BK66" s="42" t="n"/>
    </row>
    <row r="67" ht="20" customHeight="1">
      <c r="A67" s="61" t="n"/>
      <c r="B67" s="6" t="n"/>
      <c r="C67" s="62" t="n"/>
      <c r="D67" s="5" t="n"/>
      <c r="E67" s="5" t="n"/>
      <c r="F67" s="6" t="n"/>
      <c r="G67" s="62" t="n"/>
      <c r="H67" s="5" t="n"/>
      <c r="I67" s="6" t="n"/>
      <c r="J67" s="62" t="n"/>
      <c r="K67" s="5" t="n"/>
      <c r="L67" s="6" t="n"/>
      <c r="M67" s="62" t="n"/>
      <c r="N67" s="5" t="n"/>
      <c r="O67" s="5" t="n"/>
      <c r="P67" s="5" t="n"/>
      <c r="Q67" s="6" t="n"/>
      <c r="R67" s="62" t="n"/>
      <c r="S67" s="5" t="n"/>
      <c r="T67" s="5" t="n"/>
      <c r="U67" s="5" t="n"/>
      <c r="V67" s="5" t="n"/>
      <c r="W67" s="5" t="n"/>
      <c r="X67" s="6" t="n"/>
      <c r="Y67" s="62" t="n"/>
      <c r="Z67" s="5" t="n"/>
      <c r="AA67" s="5" t="n"/>
      <c r="AB67" s="5" t="n"/>
      <c r="AC67" s="5" t="n"/>
      <c r="AD67" s="6" t="n"/>
      <c r="AE67" s="63" t="n"/>
      <c r="AF67" s="6" t="n"/>
      <c r="AG67" s="63" t="n"/>
      <c r="AH67" s="6" t="n"/>
      <c r="AI67" s="63" t="n"/>
      <c r="AJ67" s="6" t="n"/>
      <c r="AK67" s="63" t="n"/>
      <c r="AL67" s="6" t="n"/>
      <c r="AM67" s="63" t="n"/>
      <c r="AN67" s="5" t="n"/>
      <c r="AO67" s="6" t="n"/>
      <c r="AP67" s="63" t="n"/>
      <c r="AQ67" s="6" t="n"/>
      <c r="AR67" s="62" t="n"/>
      <c r="AS67" s="5" t="n"/>
      <c r="AT67" s="6" t="n"/>
      <c r="AU67" s="63" t="n"/>
      <c r="AV67" s="6" t="n"/>
      <c r="AW67" s="63" t="n"/>
      <c r="AX67" s="6" t="n"/>
      <c r="AY67" s="63" t="n"/>
      <c r="AZ67" s="6" t="n"/>
      <c r="BA67" s="63" t="n"/>
      <c r="BB67" s="5" t="n"/>
      <c r="BC67" s="6" t="n"/>
      <c r="BD67" s="63" t="n"/>
      <c r="BE67" s="6" t="n"/>
      <c r="BF67" s="62" t="n"/>
      <c r="BG67" s="5" t="n"/>
      <c r="BH67" s="6" t="n"/>
      <c r="BI67" s="64" t="n"/>
      <c r="BJ67" s="5" t="n"/>
      <c r="BK67" s="42" t="n"/>
    </row>
    <row r="68" ht="20" customHeight="1">
      <c r="A68" s="65" t="n"/>
      <c r="B68" s="6" t="n"/>
      <c r="C68" s="66" t="n"/>
      <c r="D68" s="5" t="n"/>
      <c r="E68" s="5" t="n"/>
      <c r="F68" s="6" t="n"/>
      <c r="G68" s="66" t="n"/>
      <c r="H68" s="5" t="n"/>
      <c r="I68" s="6" t="n"/>
      <c r="J68" s="66" t="n"/>
      <c r="K68" s="5" t="n"/>
      <c r="L68" s="6" t="n"/>
      <c r="M68" s="66" t="n"/>
      <c r="N68" s="5" t="n"/>
      <c r="O68" s="5" t="n"/>
      <c r="P68" s="5" t="n"/>
      <c r="Q68" s="6" t="n"/>
      <c r="R68" s="66" t="n"/>
      <c r="S68" s="5" t="n"/>
      <c r="T68" s="5" t="n"/>
      <c r="U68" s="5" t="n"/>
      <c r="V68" s="5" t="n"/>
      <c r="W68" s="5" t="n"/>
      <c r="X68" s="6" t="n"/>
      <c r="Y68" s="66" t="n"/>
      <c r="Z68" s="5" t="n"/>
      <c r="AA68" s="5" t="n"/>
      <c r="AB68" s="5" t="n"/>
      <c r="AC68" s="5" t="n"/>
      <c r="AD68" s="6" t="n"/>
      <c r="AE68" s="67" t="n"/>
      <c r="AF68" s="6" t="n"/>
      <c r="AG68" s="67" t="n"/>
      <c r="AH68" s="6" t="n"/>
      <c r="AI68" s="67" t="n"/>
      <c r="AJ68" s="6" t="n"/>
      <c r="AK68" s="67" t="n"/>
      <c r="AL68" s="6" t="n"/>
      <c r="AM68" s="67" t="n"/>
      <c r="AN68" s="5" t="n"/>
      <c r="AO68" s="6" t="n"/>
      <c r="AP68" s="67" t="n"/>
      <c r="AQ68" s="6" t="n"/>
      <c r="AR68" s="66" t="n"/>
      <c r="AS68" s="5" t="n"/>
      <c r="AT68" s="6" t="n"/>
      <c r="AU68" s="67" t="n"/>
      <c r="AV68" s="6" t="n"/>
      <c r="AW68" s="67" t="n"/>
      <c r="AX68" s="6" t="n"/>
      <c r="AY68" s="67" t="n"/>
      <c r="AZ68" s="6" t="n"/>
      <c r="BA68" s="67" t="n"/>
      <c r="BB68" s="5" t="n"/>
      <c r="BC68" s="6" t="n"/>
      <c r="BD68" s="67" t="n"/>
      <c r="BE68" s="6" t="n"/>
      <c r="BF68" s="66" t="n"/>
      <c r="BG68" s="5" t="n"/>
      <c r="BH68" s="6" t="n"/>
      <c r="BI68" s="68" t="n"/>
      <c r="BJ68" s="5" t="n"/>
      <c r="BK68" s="42" t="n"/>
    </row>
    <row r="69" ht="20" customHeight="1">
      <c r="A69" s="61" t="n"/>
      <c r="B69" s="6" t="n"/>
      <c r="C69" s="62" t="n"/>
      <c r="D69" s="5" t="n"/>
      <c r="E69" s="5" t="n"/>
      <c r="F69" s="6" t="n"/>
      <c r="G69" s="62" t="n"/>
      <c r="H69" s="5" t="n"/>
      <c r="I69" s="6" t="n"/>
      <c r="J69" s="62" t="n"/>
      <c r="K69" s="5" t="n"/>
      <c r="L69" s="6" t="n"/>
      <c r="M69" s="62" t="n"/>
      <c r="N69" s="5" t="n"/>
      <c r="O69" s="5" t="n"/>
      <c r="P69" s="5" t="n"/>
      <c r="Q69" s="6" t="n"/>
      <c r="R69" s="62" t="n"/>
      <c r="S69" s="5" t="n"/>
      <c r="T69" s="5" t="n"/>
      <c r="U69" s="5" t="n"/>
      <c r="V69" s="5" t="n"/>
      <c r="W69" s="5" t="n"/>
      <c r="X69" s="6" t="n"/>
      <c r="Y69" s="62" t="n"/>
      <c r="Z69" s="5" t="n"/>
      <c r="AA69" s="5" t="n"/>
      <c r="AB69" s="5" t="n"/>
      <c r="AC69" s="5" t="n"/>
      <c r="AD69" s="6" t="n"/>
      <c r="AE69" s="63" t="n"/>
      <c r="AF69" s="6" t="n"/>
      <c r="AG69" s="63" t="n"/>
      <c r="AH69" s="6" t="n"/>
      <c r="AI69" s="63" t="n"/>
      <c r="AJ69" s="6" t="n"/>
      <c r="AK69" s="63" t="n"/>
      <c r="AL69" s="6" t="n"/>
      <c r="AM69" s="63" t="n"/>
      <c r="AN69" s="5" t="n"/>
      <c r="AO69" s="6" t="n"/>
      <c r="AP69" s="63" t="n"/>
      <c r="AQ69" s="6" t="n"/>
      <c r="AR69" s="62" t="n"/>
      <c r="AS69" s="5" t="n"/>
      <c r="AT69" s="6" t="n"/>
      <c r="AU69" s="63" t="n"/>
      <c r="AV69" s="6" t="n"/>
      <c r="AW69" s="63" t="n"/>
      <c r="AX69" s="6" t="n"/>
      <c r="AY69" s="63" t="n"/>
      <c r="AZ69" s="6" t="n"/>
      <c r="BA69" s="63" t="n"/>
      <c r="BB69" s="5" t="n"/>
      <c r="BC69" s="6" t="n"/>
      <c r="BD69" s="63" t="n"/>
      <c r="BE69" s="6" t="n"/>
      <c r="BF69" s="62" t="n"/>
      <c r="BG69" s="5" t="n"/>
      <c r="BH69" s="6" t="n"/>
      <c r="BI69" s="64" t="n"/>
      <c r="BJ69" s="5" t="n"/>
      <c r="BK69" s="42" t="n"/>
    </row>
    <row r="70" ht="20" customHeight="1">
      <c r="A70" s="65" t="n"/>
      <c r="B70" s="6" t="n"/>
      <c r="C70" s="66" t="n"/>
      <c r="D70" s="5" t="n"/>
      <c r="E70" s="5" t="n"/>
      <c r="F70" s="6" t="n"/>
      <c r="G70" s="66" t="n"/>
      <c r="H70" s="5" t="n"/>
      <c r="I70" s="6" t="n"/>
      <c r="J70" s="66" t="n"/>
      <c r="K70" s="5" t="n"/>
      <c r="L70" s="6" t="n"/>
      <c r="M70" s="66" t="n"/>
      <c r="N70" s="5" t="n"/>
      <c r="O70" s="5" t="n"/>
      <c r="P70" s="5" t="n"/>
      <c r="Q70" s="6" t="n"/>
      <c r="R70" s="66" t="n"/>
      <c r="S70" s="5" t="n"/>
      <c r="T70" s="5" t="n"/>
      <c r="U70" s="5" t="n"/>
      <c r="V70" s="5" t="n"/>
      <c r="W70" s="5" t="n"/>
      <c r="X70" s="6" t="n"/>
      <c r="Y70" s="66" t="n"/>
      <c r="Z70" s="5" t="n"/>
      <c r="AA70" s="5" t="n"/>
      <c r="AB70" s="5" t="n"/>
      <c r="AC70" s="5" t="n"/>
      <c r="AD70" s="6" t="n"/>
      <c r="AE70" s="67" t="n"/>
      <c r="AF70" s="6" t="n"/>
      <c r="AG70" s="67" t="n"/>
      <c r="AH70" s="6" t="n"/>
      <c r="AI70" s="67" t="n"/>
      <c r="AJ70" s="6" t="n"/>
      <c r="AK70" s="67" t="n"/>
      <c r="AL70" s="6" t="n"/>
      <c r="AM70" s="67" t="n"/>
      <c r="AN70" s="5" t="n"/>
      <c r="AO70" s="6" t="n"/>
      <c r="AP70" s="67" t="n"/>
      <c r="AQ70" s="6" t="n"/>
      <c r="AR70" s="66" t="n"/>
      <c r="AS70" s="5" t="n"/>
      <c r="AT70" s="6" t="n"/>
      <c r="AU70" s="67" t="n"/>
      <c r="AV70" s="6" t="n"/>
      <c r="AW70" s="67" t="n"/>
      <c r="AX70" s="6" t="n"/>
      <c r="AY70" s="67" t="n"/>
      <c r="AZ70" s="6" t="n"/>
      <c r="BA70" s="67" t="n"/>
      <c r="BB70" s="5" t="n"/>
      <c r="BC70" s="6" t="n"/>
      <c r="BD70" s="67" t="n"/>
      <c r="BE70" s="6" t="n"/>
      <c r="BF70" s="66" t="n"/>
      <c r="BG70" s="5" t="n"/>
      <c r="BH70" s="6" t="n"/>
      <c r="BI70" s="68" t="n"/>
      <c r="BJ70" s="5" t="n"/>
      <c r="BK70" s="42" t="n"/>
    </row>
    <row r="71" ht="20" customHeight="1">
      <c r="A71" s="61" t="n"/>
      <c r="B71" s="6" t="n"/>
      <c r="C71" s="62" t="n"/>
      <c r="D71" s="5" t="n"/>
      <c r="E71" s="5" t="n"/>
      <c r="F71" s="6" t="n"/>
      <c r="G71" s="62" t="n"/>
      <c r="H71" s="5" t="n"/>
      <c r="I71" s="6" t="n"/>
      <c r="J71" s="62" t="n"/>
      <c r="K71" s="5" t="n"/>
      <c r="L71" s="6" t="n"/>
      <c r="M71" s="62" t="n"/>
      <c r="N71" s="5" t="n"/>
      <c r="O71" s="5" t="n"/>
      <c r="P71" s="5" t="n"/>
      <c r="Q71" s="6" t="n"/>
      <c r="R71" s="62" t="n"/>
      <c r="S71" s="5" t="n"/>
      <c r="T71" s="5" t="n"/>
      <c r="U71" s="5" t="n"/>
      <c r="V71" s="5" t="n"/>
      <c r="W71" s="5" t="n"/>
      <c r="X71" s="6" t="n"/>
      <c r="Y71" s="62" t="n"/>
      <c r="Z71" s="5" t="n"/>
      <c r="AA71" s="5" t="n"/>
      <c r="AB71" s="5" t="n"/>
      <c r="AC71" s="5" t="n"/>
      <c r="AD71" s="6" t="n"/>
      <c r="AE71" s="63" t="n"/>
      <c r="AF71" s="6" t="n"/>
      <c r="AG71" s="63" t="n"/>
      <c r="AH71" s="6" t="n"/>
      <c r="AI71" s="63" t="n"/>
      <c r="AJ71" s="6" t="n"/>
      <c r="AK71" s="63" t="n"/>
      <c r="AL71" s="6" t="n"/>
      <c r="AM71" s="63" t="n"/>
      <c r="AN71" s="5" t="n"/>
      <c r="AO71" s="6" t="n"/>
      <c r="AP71" s="63" t="n"/>
      <c r="AQ71" s="6" t="n"/>
      <c r="AR71" s="62" t="n"/>
      <c r="AS71" s="5" t="n"/>
      <c r="AT71" s="6" t="n"/>
      <c r="AU71" s="63" t="n"/>
      <c r="AV71" s="6" t="n"/>
      <c r="AW71" s="63" t="n"/>
      <c r="AX71" s="6" t="n"/>
      <c r="AY71" s="63" t="n"/>
      <c r="AZ71" s="6" t="n"/>
      <c r="BA71" s="63" t="n"/>
      <c r="BB71" s="5" t="n"/>
      <c r="BC71" s="6" t="n"/>
      <c r="BD71" s="63" t="n"/>
      <c r="BE71" s="6" t="n"/>
      <c r="BF71" s="62" t="n"/>
      <c r="BG71" s="5" t="n"/>
      <c r="BH71" s="6" t="n"/>
      <c r="BI71" s="64" t="n"/>
      <c r="BJ71" s="5" t="n"/>
      <c r="BK71" s="42" t="n"/>
    </row>
    <row r="72" ht="20" customHeight="1">
      <c r="A72" s="65" t="n"/>
      <c r="B72" s="6" t="n"/>
      <c r="C72" s="66" t="n"/>
      <c r="D72" s="5" t="n"/>
      <c r="E72" s="5" t="n"/>
      <c r="F72" s="6" t="n"/>
      <c r="G72" s="66" t="n"/>
      <c r="H72" s="5" t="n"/>
      <c r="I72" s="6" t="n"/>
      <c r="J72" s="66" t="n"/>
      <c r="K72" s="5" t="n"/>
      <c r="L72" s="6" t="n"/>
      <c r="M72" s="66" t="n"/>
      <c r="N72" s="5" t="n"/>
      <c r="O72" s="5" t="n"/>
      <c r="P72" s="5" t="n"/>
      <c r="Q72" s="6" t="n"/>
      <c r="R72" s="66" t="n"/>
      <c r="S72" s="5" t="n"/>
      <c r="T72" s="5" t="n"/>
      <c r="U72" s="5" t="n"/>
      <c r="V72" s="5" t="n"/>
      <c r="W72" s="5" t="n"/>
      <c r="X72" s="6" t="n"/>
      <c r="Y72" s="66" t="n"/>
      <c r="Z72" s="5" t="n"/>
      <c r="AA72" s="5" t="n"/>
      <c r="AB72" s="5" t="n"/>
      <c r="AC72" s="5" t="n"/>
      <c r="AD72" s="6" t="n"/>
      <c r="AE72" s="67" t="n"/>
      <c r="AF72" s="6" t="n"/>
      <c r="AG72" s="67" t="n"/>
      <c r="AH72" s="6" t="n"/>
      <c r="AI72" s="67" t="n"/>
      <c r="AJ72" s="6" t="n"/>
      <c r="AK72" s="67" t="n"/>
      <c r="AL72" s="6" t="n"/>
      <c r="AM72" s="67" t="n"/>
      <c r="AN72" s="5" t="n"/>
      <c r="AO72" s="6" t="n"/>
      <c r="AP72" s="67" t="n"/>
      <c r="AQ72" s="6" t="n"/>
      <c r="AR72" s="66" t="n"/>
      <c r="AS72" s="5" t="n"/>
      <c r="AT72" s="6" t="n"/>
      <c r="AU72" s="67" t="n"/>
      <c r="AV72" s="6" t="n"/>
      <c r="AW72" s="67" t="n"/>
      <c r="AX72" s="6" t="n"/>
      <c r="AY72" s="67" t="n"/>
      <c r="AZ72" s="6" t="n"/>
      <c r="BA72" s="67" t="n"/>
      <c r="BB72" s="5" t="n"/>
      <c r="BC72" s="6" t="n"/>
      <c r="BD72" s="67" t="n"/>
      <c r="BE72" s="6" t="n"/>
      <c r="BF72" s="66" t="n"/>
      <c r="BG72" s="5" t="n"/>
      <c r="BH72" s="6" t="n"/>
      <c r="BI72" s="68" t="n"/>
      <c r="BJ72" s="5" t="n"/>
      <c r="BK72" s="42" t="n"/>
    </row>
    <row r="73" ht="20" customHeight="1">
      <c r="A73" s="61" t="n"/>
      <c r="B73" s="6" t="n"/>
      <c r="C73" s="62" t="n"/>
      <c r="D73" s="5" t="n"/>
      <c r="E73" s="5" t="n"/>
      <c r="F73" s="6" t="n"/>
      <c r="G73" s="62" t="n"/>
      <c r="H73" s="5" t="n"/>
      <c r="I73" s="6" t="n"/>
      <c r="J73" s="62" t="n"/>
      <c r="K73" s="5" t="n"/>
      <c r="L73" s="6" t="n"/>
      <c r="M73" s="62" t="n"/>
      <c r="N73" s="5" t="n"/>
      <c r="O73" s="5" t="n"/>
      <c r="P73" s="5" t="n"/>
      <c r="Q73" s="6" t="n"/>
      <c r="R73" s="62" t="n"/>
      <c r="S73" s="5" t="n"/>
      <c r="T73" s="5" t="n"/>
      <c r="U73" s="5" t="n"/>
      <c r="V73" s="5" t="n"/>
      <c r="W73" s="5" t="n"/>
      <c r="X73" s="6" t="n"/>
      <c r="Y73" s="62" t="n"/>
      <c r="Z73" s="5" t="n"/>
      <c r="AA73" s="5" t="n"/>
      <c r="AB73" s="5" t="n"/>
      <c r="AC73" s="5" t="n"/>
      <c r="AD73" s="6" t="n"/>
      <c r="AE73" s="63" t="n"/>
      <c r="AF73" s="6" t="n"/>
      <c r="AG73" s="63" t="n"/>
      <c r="AH73" s="6" t="n"/>
      <c r="AI73" s="63" t="n"/>
      <c r="AJ73" s="6" t="n"/>
      <c r="AK73" s="63" t="n"/>
      <c r="AL73" s="6" t="n"/>
      <c r="AM73" s="63" t="n"/>
      <c r="AN73" s="5" t="n"/>
      <c r="AO73" s="6" t="n"/>
      <c r="AP73" s="63" t="n"/>
      <c r="AQ73" s="6" t="n"/>
      <c r="AR73" s="62" t="n"/>
      <c r="AS73" s="5" t="n"/>
      <c r="AT73" s="6" t="n"/>
      <c r="AU73" s="63" t="n"/>
      <c r="AV73" s="6" t="n"/>
      <c r="AW73" s="63" t="n"/>
      <c r="AX73" s="6" t="n"/>
      <c r="AY73" s="63" t="n"/>
      <c r="AZ73" s="6" t="n"/>
      <c r="BA73" s="63" t="n"/>
      <c r="BB73" s="5" t="n"/>
      <c r="BC73" s="6" t="n"/>
      <c r="BD73" s="63" t="n"/>
      <c r="BE73" s="6" t="n"/>
      <c r="BF73" s="62" t="n"/>
      <c r="BG73" s="5" t="n"/>
      <c r="BH73" s="6" t="n"/>
      <c r="BI73" s="64" t="n"/>
      <c r="BJ73" s="5" t="n"/>
      <c r="BK73" s="42" t="n"/>
    </row>
    <row r="74" ht="20" customHeight="1">
      <c r="A74" s="65" t="n"/>
      <c r="B74" s="6" t="n"/>
      <c r="C74" s="66" t="n"/>
      <c r="D74" s="5" t="n"/>
      <c r="E74" s="5" t="n"/>
      <c r="F74" s="6" t="n"/>
      <c r="G74" s="66" t="n"/>
      <c r="H74" s="5" t="n"/>
      <c r="I74" s="6" t="n"/>
      <c r="J74" s="66" t="n"/>
      <c r="K74" s="5" t="n"/>
      <c r="L74" s="6" t="n"/>
      <c r="M74" s="66" t="n"/>
      <c r="N74" s="5" t="n"/>
      <c r="O74" s="5" t="n"/>
      <c r="P74" s="5" t="n"/>
      <c r="Q74" s="6" t="n"/>
      <c r="R74" s="66" t="n"/>
      <c r="S74" s="5" t="n"/>
      <c r="T74" s="5" t="n"/>
      <c r="U74" s="5" t="n"/>
      <c r="V74" s="5" t="n"/>
      <c r="W74" s="5" t="n"/>
      <c r="X74" s="6" t="n"/>
      <c r="Y74" s="66" t="n"/>
      <c r="Z74" s="5" t="n"/>
      <c r="AA74" s="5" t="n"/>
      <c r="AB74" s="5" t="n"/>
      <c r="AC74" s="5" t="n"/>
      <c r="AD74" s="6" t="n"/>
      <c r="AE74" s="67" t="n"/>
      <c r="AF74" s="6" t="n"/>
      <c r="AG74" s="67" t="n"/>
      <c r="AH74" s="6" t="n"/>
      <c r="AI74" s="67" t="n"/>
      <c r="AJ74" s="6" t="n"/>
      <c r="AK74" s="67" t="n"/>
      <c r="AL74" s="6" t="n"/>
      <c r="AM74" s="67" t="n"/>
      <c r="AN74" s="5" t="n"/>
      <c r="AO74" s="6" t="n"/>
      <c r="AP74" s="67" t="n"/>
      <c r="AQ74" s="6" t="n"/>
      <c r="AR74" s="66" t="n"/>
      <c r="AS74" s="5" t="n"/>
      <c r="AT74" s="6" t="n"/>
      <c r="AU74" s="67" t="n"/>
      <c r="AV74" s="6" t="n"/>
      <c r="AW74" s="67" t="n"/>
      <c r="AX74" s="6" t="n"/>
      <c r="AY74" s="67" t="n"/>
      <c r="AZ74" s="6" t="n"/>
      <c r="BA74" s="67" t="n"/>
      <c r="BB74" s="5" t="n"/>
      <c r="BC74" s="6" t="n"/>
      <c r="BD74" s="67" t="n"/>
      <c r="BE74" s="6" t="n"/>
      <c r="BF74" s="66" t="n"/>
      <c r="BG74" s="5" t="n"/>
      <c r="BH74" s="6" t="n"/>
      <c r="BI74" s="68" t="n"/>
      <c r="BJ74" s="5" t="n"/>
      <c r="BK74" s="42" t="n"/>
    </row>
    <row r="75" ht="20" customHeight="1">
      <c r="A75" s="61" t="n"/>
      <c r="B75" s="6" t="n"/>
      <c r="C75" s="62" t="n"/>
      <c r="D75" s="5" t="n"/>
      <c r="E75" s="5" t="n"/>
      <c r="F75" s="6" t="n"/>
      <c r="G75" s="62" t="n"/>
      <c r="H75" s="5" t="n"/>
      <c r="I75" s="6" t="n"/>
      <c r="J75" s="62" t="n"/>
      <c r="K75" s="5" t="n"/>
      <c r="L75" s="6" t="n"/>
      <c r="M75" s="62" t="n"/>
      <c r="N75" s="5" t="n"/>
      <c r="O75" s="5" t="n"/>
      <c r="P75" s="5" t="n"/>
      <c r="Q75" s="6" t="n"/>
      <c r="R75" s="62" t="n"/>
      <c r="S75" s="5" t="n"/>
      <c r="T75" s="5" t="n"/>
      <c r="U75" s="5" t="n"/>
      <c r="V75" s="5" t="n"/>
      <c r="W75" s="5" t="n"/>
      <c r="X75" s="6" t="n"/>
      <c r="Y75" s="62" t="n"/>
      <c r="Z75" s="5" t="n"/>
      <c r="AA75" s="5" t="n"/>
      <c r="AB75" s="5" t="n"/>
      <c r="AC75" s="5" t="n"/>
      <c r="AD75" s="6" t="n"/>
      <c r="AE75" s="63" t="n"/>
      <c r="AF75" s="6" t="n"/>
      <c r="AG75" s="63" t="n"/>
      <c r="AH75" s="6" t="n"/>
      <c r="AI75" s="63" t="n"/>
      <c r="AJ75" s="6" t="n"/>
      <c r="AK75" s="63" t="n"/>
      <c r="AL75" s="6" t="n"/>
      <c r="AM75" s="63" t="n"/>
      <c r="AN75" s="5" t="n"/>
      <c r="AO75" s="6" t="n"/>
      <c r="AP75" s="63" t="n"/>
      <c r="AQ75" s="6" t="n"/>
      <c r="AR75" s="62" t="n"/>
      <c r="AS75" s="5" t="n"/>
      <c r="AT75" s="6" t="n"/>
      <c r="AU75" s="63" t="n"/>
      <c r="AV75" s="6" t="n"/>
      <c r="AW75" s="63" t="n"/>
      <c r="AX75" s="6" t="n"/>
      <c r="AY75" s="63" t="n"/>
      <c r="AZ75" s="6" t="n"/>
      <c r="BA75" s="63" t="n"/>
      <c r="BB75" s="5" t="n"/>
      <c r="BC75" s="6" t="n"/>
      <c r="BD75" s="63" t="n"/>
      <c r="BE75" s="6" t="n"/>
      <c r="BF75" s="62" t="n"/>
      <c r="BG75" s="5" t="n"/>
      <c r="BH75" s="6" t="n"/>
      <c r="BI75" s="64" t="n"/>
      <c r="BJ75" s="5" t="n"/>
      <c r="BK75" s="42" t="n"/>
    </row>
    <row r="76" ht="20" customHeight="1">
      <c r="A76" s="65" t="n"/>
      <c r="B76" s="6" t="n"/>
      <c r="C76" s="66" t="n"/>
      <c r="D76" s="5" t="n"/>
      <c r="E76" s="5" t="n"/>
      <c r="F76" s="6" t="n"/>
      <c r="G76" s="66" t="n"/>
      <c r="H76" s="5" t="n"/>
      <c r="I76" s="6" t="n"/>
      <c r="J76" s="66" t="n"/>
      <c r="K76" s="5" t="n"/>
      <c r="L76" s="6" t="n"/>
      <c r="M76" s="66" t="n"/>
      <c r="N76" s="5" t="n"/>
      <c r="O76" s="5" t="n"/>
      <c r="P76" s="5" t="n"/>
      <c r="Q76" s="6" t="n"/>
      <c r="R76" s="66" t="n"/>
      <c r="S76" s="5" t="n"/>
      <c r="T76" s="5" t="n"/>
      <c r="U76" s="5" t="n"/>
      <c r="V76" s="5" t="n"/>
      <c r="W76" s="5" t="n"/>
      <c r="X76" s="6" t="n"/>
      <c r="Y76" s="66" t="n"/>
      <c r="Z76" s="5" t="n"/>
      <c r="AA76" s="5" t="n"/>
      <c r="AB76" s="5" t="n"/>
      <c r="AC76" s="5" t="n"/>
      <c r="AD76" s="6" t="n"/>
      <c r="AE76" s="67" t="n"/>
      <c r="AF76" s="6" t="n"/>
      <c r="AG76" s="67" t="n"/>
      <c r="AH76" s="6" t="n"/>
      <c r="AI76" s="67" t="n"/>
      <c r="AJ76" s="6" t="n"/>
      <c r="AK76" s="67" t="n"/>
      <c r="AL76" s="6" t="n"/>
      <c r="AM76" s="67" t="n"/>
      <c r="AN76" s="5" t="n"/>
      <c r="AO76" s="6" t="n"/>
      <c r="AP76" s="67" t="n"/>
      <c r="AQ76" s="6" t="n"/>
      <c r="AR76" s="66" t="n"/>
      <c r="AS76" s="5" t="n"/>
      <c r="AT76" s="6" t="n"/>
      <c r="AU76" s="67" t="n"/>
      <c r="AV76" s="6" t="n"/>
      <c r="AW76" s="67" t="n"/>
      <c r="AX76" s="6" t="n"/>
      <c r="AY76" s="67" t="n"/>
      <c r="AZ76" s="6" t="n"/>
      <c r="BA76" s="67" t="n"/>
      <c r="BB76" s="5" t="n"/>
      <c r="BC76" s="6" t="n"/>
      <c r="BD76" s="67" t="n"/>
      <c r="BE76" s="6" t="n"/>
      <c r="BF76" s="66" t="n"/>
      <c r="BG76" s="5" t="n"/>
      <c r="BH76" s="6" t="n"/>
      <c r="BI76" s="68" t="n"/>
      <c r="BJ76" s="5" t="n"/>
      <c r="BK76" s="42" t="n"/>
    </row>
    <row r="77" ht="20" customHeight="1">
      <c r="A77" s="61" t="n"/>
      <c r="B77" s="6" t="n"/>
      <c r="C77" s="62" t="n"/>
      <c r="D77" s="5" t="n"/>
      <c r="E77" s="5" t="n"/>
      <c r="F77" s="6" t="n"/>
      <c r="G77" s="62" t="n"/>
      <c r="H77" s="5" t="n"/>
      <c r="I77" s="6" t="n"/>
      <c r="J77" s="62" t="n"/>
      <c r="K77" s="5" t="n"/>
      <c r="L77" s="6" t="n"/>
      <c r="M77" s="62" t="n"/>
      <c r="N77" s="5" t="n"/>
      <c r="O77" s="5" t="n"/>
      <c r="P77" s="5" t="n"/>
      <c r="Q77" s="6" t="n"/>
      <c r="R77" s="62" t="n"/>
      <c r="S77" s="5" t="n"/>
      <c r="T77" s="5" t="n"/>
      <c r="U77" s="5" t="n"/>
      <c r="V77" s="5" t="n"/>
      <c r="W77" s="5" t="n"/>
      <c r="X77" s="6" t="n"/>
      <c r="Y77" s="62" t="n"/>
      <c r="Z77" s="5" t="n"/>
      <c r="AA77" s="5" t="n"/>
      <c r="AB77" s="5" t="n"/>
      <c r="AC77" s="5" t="n"/>
      <c r="AD77" s="6" t="n"/>
      <c r="AE77" s="63" t="n"/>
      <c r="AF77" s="6" t="n"/>
      <c r="AG77" s="63" t="n"/>
      <c r="AH77" s="6" t="n"/>
      <c r="AI77" s="63" t="n"/>
      <c r="AJ77" s="6" t="n"/>
      <c r="AK77" s="63" t="n"/>
      <c r="AL77" s="6" t="n"/>
      <c r="AM77" s="63" t="n"/>
      <c r="AN77" s="5" t="n"/>
      <c r="AO77" s="6" t="n"/>
      <c r="AP77" s="63" t="n"/>
      <c r="AQ77" s="6" t="n"/>
      <c r="AR77" s="62" t="n"/>
      <c r="AS77" s="5" t="n"/>
      <c r="AT77" s="6" t="n"/>
      <c r="AU77" s="63" t="n"/>
      <c r="AV77" s="6" t="n"/>
      <c r="AW77" s="63" t="n"/>
      <c r="AX77" s="6" t="n"/>
      <c r="AY77" s="63" t="n"/>
      <c r="AZ77" s="6" t="n"/>
      <c r="BA77" s="63" t="n"/>
      <c r="BB77" s="5" t="n"/>
      <c r="BC77" s="6" t="n"/>
      <c r="BD77" s="63" t="n"/>
      <c r="BE77" s="6" t="n"/>
      <c r="BF77" s="62" t="n"/>
      <c r="BG77" s="5" t="n"/>
      <c r="BH77" s="6" t="n"/>
      <c r="BI77" s="64" t="n"/>
      <c r="BJ77" s="5" t="n"/>
      <c r="BK77" s="42" t="n"/>
    </row>
    <row r="78" ht="20" customHeight="1">
      <c r="A78" s="65" t="n"/>
      <c r="B78" s="6" t="n"/>
      <c r="C78" s="66" t="n"/>
      <c r="D78" s="5" t="n"/>
      <c r="E78" s="5" t="n"/>
      <c r="F78" s="6" t="n"/>
      <c r="G78" s="66" t="n"/>
      <c r="H78" s="5" t="n"/>
      <c r="I78" s="6" t="n"/>
      <c r="J78" s="66" t="n"/>
      <c r="K78" s="5" t="n"/>
      <c r="L78" s="6" t="n"/>
      <c r="M78" s="66" t="n"/>
      <c r="N78" s="5" t="n"/>
      <c r="O78" s="5" t="n"/>
      <c r="P78" s="5" t="n"/>
      <c r="Q78" s="6" t="n"/>
      <c r="R78" s="66" t="n"/>
      <c r="S78" s="5" t="n"/>
      <c r="T78" s="5" t="n"/>
      <c r="U78" s="5" t="n"/>
      <c r="V78" s="5" t="n"/>
      <c r="W78" s="5" t="n"/>
      <c r="X78" s="6" t="n"/>
      <c r="Y78" s="66" t="n"/>
      <c r="Z78" s="5" t="n"/>
      <c r="AA78" s="5" t="n"/>
      <c r="AB78" s="5" t="n"/>
      <c r="AC78" s="5" t="n"/>
      <c r="AD78" s="6" t="n"/>
      <c r="AE78" s="67" t="n"/>
      <c r="AF78" s="6" t="n"/>
      <c r="AG78" s="67" t="n"/>
      <c r="AH78" s="6" t="n"/>
      <c r="AI78" s="67" t="n"/>
      <c r="AJ78" s="6" t="n"/>
      <c r="AK78" s="67" t="n"/>
      <c r="AL78" s="6" t="n"/>
      <c r="AM78" s="67" t="n"/>
      <c r="AN78" s="5" t="n"/>
      <c r="AO78" s="6" t="n"/>
      <c r="AP78" s="67" t="n"/>
      <c r="AQ78" s="6" t="n"/>
      <c r="AR78" s="66" t="n"/>
      <c r="AS78" s="5" t="n"/>
      <c r="AT78" s="6" t="n"/>
      <c r="AU78" s="67" t="n"/>
      <c r="AV78" s="6" t="n"/>
      <c r="AW78" s="67" t="n"/>
      <c r="AX78" s="6" t="n"/>
      <c r="AY78" s="67" t="n"/>
      <c r="AZ78" s="6" t="n"/>
      <c r="BA78" s="67" t="n"/>
      <c r="BB78" s="5" t="n"/>
      <c r="BC78" s="6" t="n"/>
      <c r="BD78" s="67" t="n"/>
      <c r="BE78" s="6" t="n"/>
      <c r="BF78" s="66" t="n"/>
      <c r="BG78" s="5" t="n"/>
      <c r="BH78" s="6" t="n"/>
      <c r="BI78" s="68" t="n"/>
      <c r="BJ78" s="5" t="n"/>
      <c r="BK78" s="42" t="n"/>
    </row>
    <row r="79" ht="20" customHeight="1">
      <c r="A79" s="61" t="n"/>
      <c r="B79" s="6" t="n"/>
      <c r="C79" s="62" t="n"/>
      <c r="D79" s="5" t="n"/>
      <c r="E79" s="5" t="n"/>
      <c r="F79" s="6" t="n"/>
      <c r="G79" s="62" t="n"/>
      <c r="H79" s="5" t="n"/>
      <c r="I79" s="6" t="n"/>
      <c r="J79" s="62" t="n"/>
      <c r="K79" s="5" t="n"/>
      <c r="L79" s="6" t="n"/>
      <c r="M79" s="62" t="n"/>
      <c r="N79" s="5" t="n"/>
      <c r="O79" s="5" t="n"/>
      <c r="P79" s="5" t="n"/>
      <c r="Q79" s="6" t="n"/>
      <c r="R79" s="62" t="n"/>
      <c r="S79" s="5" t="n"/>
      <c r="T79" s="5" t="n"/>
      <c r="U79" s="5" t="n"/>
      <c r="V79" s="5" t="n"/>
      <c r="W79" s="5" t="n"/>
      <c r="X79" s="6" t="n"/>
      <c r="Y79" s="62" t="n"/>
      <c r="Z79" s="5" t="n"/>
      <c r="AA79" s="5" t="n"/>
      <c r="AB79" s="5" t="n"/>
      <c r="AC79" s="5" t="n"/>
      <c r="AD79" s="6" t="n"/>
      <c r="AE79" s="63" t="n"/>
      <c r="AF79" s="6" t="n"/>
      <c r="AG79" s="63" t="n"/>
      <c r="AH79" s="6" t="n"/>
      <c r="AI79" s="63" t="n"/>
      <c r="AJ79" s="6" t="n"/>
      <c r="AK79" s="63" t="n"/>
      <c r="AL79" s="6" t="n"/>
      <c r="AM79" s="63" t="n"/>
      <c r="AN79" s="5" t="n"/>
      <c r="AO79" s="6" t="n"/>
      <c r="AP79" s="63" t="n"/>
      <c r="AQ79" s="6" t="n"/>
      <c r="AR79" s="62" t="n"/>
      <c r="AS79" s="5" t="n"/>
      <c r="AT79" s="6" t="n"/>
      <c r="AU79" s="63" t="n"/>
      <c r="AV79" s="6" t="n"/>
      <c r="AW79" s="63" t="n"/>
      <c r="AX79" s="6" t="n"/>
      <c r="AY79" s="63" t="n"/>
      <c r="AZ79" s="6" t="n"/>
      <c r="BA79" s="63" t="n"/>
      <c r="BB79" s="5" t="n"/>
      <c r="BC79" s="6" t="n"/>
      <c r="BD79" s="63" t="n"/>
      <c r="BE79" s="6" t="n"/>
      <c r="BF79" s="62" t="n"/>
      <c r="BG79" s="5" t="n"/>
      <c r="BH79" s="6" t="n"/>
      <c r="BI79" s="64" t="n"/>
      <c r="BJ79" s="5" t="n"/>
      <c r="BK79" s="42" t="n"/>
    </row>
    <row r="80" ht="20" customHeight="1">
      <c r="A80" s="65" t="n"/>
      <c r="B80" s="6" t="n"/>
      <c r="C80" s="66" t="n"/>
      <c r="D80" s="5" t="n"/>
      <c r="E80" s="5" t="n"/>
      <c r="F80" s="6" t="n"/>
      <c r="G80" s="66" t="n"/>
      <c r="H80" s="5" t="n"/>
      <c r="I80" s="6" t="n"/>
      <c r="J80" s="66" t="n"/>
      <c r="K80" s="5" t="n"/>
      <c r="L80" s="6" t="n"/>
      <c r="M80" s="66" t="n"/>
      <c r="N80" s="5" t="n"/>
      <c r="O80" s="5" t="n"/>
      <c r="P80" s="5" t="n"/>
      <c r="Q80" s="6" t="n"/>
      <c r="R80" s="66" t="n"/>
      <c r="S80" s="5" t="n"/>
      <c r="T80" s="5" t="n"/>
      <c r="U80" s="5" t="n"/>
      <c r="V80" s="5" t="n"/>
      <c r="W80" s="5" t="n"/>
      <c r="X80" s="6" t="n"/>
      <c r="Y80" s="66" t="n"/>
      <c r="Z80" s="5" t="n"/>
      <c r="AA80" s="5" t="n"/>
      <c r="AB80" s="5" t="n"/>
      <c r="AC80" s="5" t="n"/>
      <c r="AD80" s="6" t="n"/>
      <c r="AE80" s="67" t="n"/>
      <c r="AF80" s="6" t="n"/>
      <c r="AG80" s="67" t="n"/>
      <c r="AH80" s="6" t="n"/>
      <c r="AI80" s="67" t="n"/>
      <c r="AJ80" s="6" t="n"/>
      <c r="AK80" s="67" t="n"/>
      <c r="AL80" s="6" t="n"/>
      <c r="AM80" s="67" t="n"/>
      <c r="AN80" s="5" t="n"/>
      <c r="AO80" s="6" t="n"/>
      <c r="AP80" s="67" t="n"/>
      <c r="AQ80" s="6" t="n"/>
      <c r="AR80" s="66" t="n"/>
      <c r="AS80" s="5" t="n"/>
      <c r="AT80" s="6" t="n"/>
      <c r="AU80" s="67" t="n"/>
      <c r="AV80" s="6" t="n"/>
      <c r="AW80" s="67" t="n"/>
      <c r="AX80" s="6" t="n"/>
      <c r="AY80" s="67" t="n"/>
      <c r="AZ80" s="6" t="n"/>
      <c r="BA80" s="67" t="n"/>
      <c r="BB80" s="5" t="n"/>
      <c r="BC80" s="6" t="n"/>
      <c r="BD80" s="67" t="n"/>
      <c r="BE80" s="6" t="n"/>
      <c r="BF80" s="66" t="n"/>
      <c r="BG80" s="5" t="n"/>
      <c r="BH80" s="6" t="n"/>
      <c r="BI80" s="68" t="n"/>
      <c r="BJ80" s="5" t="n"/>
      <c r="BK80" s="42" t="n"/>
    </row>
    <row r="81" ht="20" customHeight="1">
      <c r="A81" s="61" t="n"/>
      <c r="B81" s="6" t="n"/>
      <c r="C81" s="62" t="n"/>
      <c r="D81" s="5" t="n"/>
      <c r="E81" s="5" t="n"/>
      <c r="F81" s="6" t="n"/>
      <c r="G81" s="62" t="n"/>
      <c r="H81" s="5" t="n"/>
      <c r="I81" s="6" t="n"/>
      <c r="J81" s="62" t="n"/>
      <c r="K81" s="5" t="n"/>
      <c r="L81" s="6" t="n"/>
      <c r="M81" s="62" t="n"/>
      <c r="N81" s="5" t="n"/>
      <c r="O81" s="5" t="n"/>
      <c r="P81" s="5" t="n"/>
      <c r="Q81" s="6" t="n"/>
      <c r="R81" s="62" t="n"/>
      <c r="S81" s="5" t="n"/>
      <c r="T81" s="5" t="n"/>
      <c r="U81" s="5" t="n"/>
      <c r="V81" s="5" t="n"/>
      <c r="W81" s="5" t="n"/>
      <c r="X81" s="6" t="n"/>
      <c r="Y81" s="62" t="n"/>
      <c r="Z81" s="5" t="n"/>
      <c r="AA81" s="5" t="n"/>
      <c r="AB81" s="5" t="n"/>
      <c r="AC81" s="5" t="n"/>
      <c r="AD81" s="6" t="n"/>
      <c r="AE81" s="63" t="n"/>
      <c r="AF81" s="6" t="n"/>
      <c r="AG81" s="63" t="n"/>
      <c r="AH81" s="6" t="n"/>
      <c r="AI81" s="63" t="n"/>
      <c r="AJ81" s="6" t="n"/>
      <c r="AK81" s="63" t="n"/>
      <c r="AL81" s="6" t="n"/>
      <c r="AM81" s="63" t="n"/>
      <c r="AN81" s="5" t="n"/>
      <c r="AO81" s="6" t="n"/>
      <c r="AP81" s="63" t="n"/>
      <c r="AQ81" s="6" t="n"/>
      <c r="AR81" s="62" t="n"/>
      <c r="AS81" s="5" t="n"/>
      <c r="AT81" s="6" t="n"/>
      <c r="AU81" s="63" t="n"/>
      <c r="AV81" s="6" t="n"/>
      <c r="AW81" s="63" t="n"/>
      <c r="AX81" s="6" t="n"/>
      <c r="AY81" s="63" t="n"/>
      <c r="AZ81" s="6" t="n"/>
      <c r="BA81" s="63" t="n"/>
      <c r="BB81" s="5" t="n"/>
      <c r="BC81" s="6" t="n"/>
      <c r="BD81" s="63" t="n"/>
      <c r="BE81" s="6" t="n"/>
      <c r="BF81" s="62" t="n"/>
      <c r="BG81" s="5" t="n"/>
      <c r="BH81" s="6" t="n"/>
      <c r="BI81" s="64" t="n"/>
      <c r="BJ81" s="5" t="n"/>
      <c r="BK81" s="42" t="n"/>
    </row>
    <row r="82" ht="20" customHeight="1">
      <c r="A82" s="65" t="n"/>
      <c r="B82" s="6" t="n"/>
      <c r="C82" s="66" t="n"/>
      <c r="D82" s="5" t="n"/>
      <c r="E82" s="5" t="n"/>
      <c r="F82" s="6" t="n"/>
      <c r="G82" s="66" t="n"/>
      <c r="H82" s="5" t="n"/>
      <c r="I82" s="6" t="n"/>
      <c r="J82" s="66" t="n"/>
      <c r="K82" s="5" t="n"/>
      <c r="L82" s="6" t="n"/>
      <c r="M82" s="66" t="n"/>
      <c r="N82" s="5" t="n"/>
      <c r="O82" s="5" t="n"/>
      <c r="P82" s="5" t="n"/>
      <c r="Q82" s="6" t="n"/>
      <c r="R82" s="66" t="n"/>
      <c r="S82" s="5" t="n"/>
      <c r="T82" s="5" t="n"/>
      <c r="U82" s="5" t="n"/>
      <c r="V82" s="5" t="n"/>
      <c r="W82" s="5" t="n"/>
      <c r="X82" s="6" t="n"/>
      <c r="Y82" s="66" t="n"/>
      <c r="Z82" s="5" t="n"/>
      <c r="AA82" s="5" t="n"/>
      <c r="AB82" s="5" t="n"/>
      <c r="AC82" s="5" t="n"/>
      <c r="AD82" s="6" t="n"/>
      <c r="AE82" s="67" t="n"/>
      <c r="AF82" s="6" t="n"/>
      <c r="AG82" s="67" t="n"/>
      <c r="AH82" s="6" t="n"/>
      <c r="AI82" s="67" t="n"/>
      <c r="AJ82" s="6" t="n"/>
      <c r="AK82" s="67" t="n"/>
      <c r="AL82" s="6" t="n"/>
      <c r="AM82" s="67" t="n"/>
      <c r="AN82" s="5" t="n"/>
      <c r="AO82" s="6" t="n"/>
      <c r="AP82" s="67" t="n"/>
      <c r="AQ82" s="6" t="n"/>
      <c r="AR82" s="66" t="n"/>
      <c r="AS82" s="5" t="n"/>
      <c r="AT82" s="6" t="n"/>
      <c r="AU82" s="67" t="n"/>
      <c r="AV82" s="6" t="n"/>
      <c r="AW82" s="67" t="n"/>
      <c r="AX82" s="6" t="n"/>
      <c r="AY82" s="67" t="n"/>
      <c r="AZ82" s="6" t="n"/>
      <c r="BA82" s="67" t="n"/>
      <c r="BB82" s="5" t="n"/>
      <c r="BC82" s="6" t="n"/>
      <c r="BD82" s="67" t="n"/>
      <c r="BE82" s="6" t="n"/>
      <c r="BF82" s="66" t="n"/>
      <c r="BG82" s="5" t="n"/>
      <c r="BH82" s="6" t="n"/>
      <c r="BI82" s="68" t="n"/>
      <c r="BJ82" s="5" t="n"/>
      <c r="BK82" s="42" t="n"/>
    </row>
    <row r="83" ht="20" customHeight="1">
      <c r="A83" s="61" t="n"/>
      <c r="B83" s="6" t="n"/>
      <c r="C83" s="62" t="n"/>
      <c r="D83" s="5" t="n"/>
      <c r="E83" s="5" t="n"/>
      <c r="F83" s="6" t="n"/>
      <c r="G83" s="62" t="n"/>
      <c r="H83" s="5" t="n"/>
      <c r="I83" s="6" t="n"/>
      <c r="J83" s="62" t="n"/>
      <c r="K83" s="5" t="n"/>
      <c r="L83" s="6" t="n"/>
      <c r="M83" s="62" t="n"/>
      <c r="N83" s="5" t="n"/>
      <c r="O83" s="5" t="n"/>
      <c r="P83" s="5" t="n"/>
      <c r="Q83" s="6" t="n"/>
      <c r="R83" s="62" t="n"/>
      <c r="S83" s="5" t="n"/>
      <c r="T83" s="5" t="n"/>
      <c r="U83" s="5" t="n"/>
      <c r="V83" s="5" t="n"/>
      <c r="W83" s="5" t="n"/>
      <c r="X83" s="6" t="n"/>
      <c r="Y83" s="62" t="n"/>
      <c r="Z83" s="5" t="n"/>
      <c r="AA83" s="5" t="n"/>
      <c r="AB83" s="5" t="n"/>
      <c r="AC83" s="5" t="n"/>
      <c r="AD83" s="6" t="n"/>
      <c r="AE83" s="63" t="n"/>
      <c r="AF83" s="6" t="n"/>
      <c r="AG83" s="63" t="n"/>
      <c r="AH83" s="6" t="n"/>
      <c r="AI83" s="63" t="n"/>
      <c r="AJ83" s="6" t="n"/>
      <c r="AK83" s="63" t="n"/>
      <c r="AL83" s="6" t="n"/>
      <c r="AM83" s="63" t="n"/>
      <c r="AN83" s="5" t="n"/>
      <c r="AO83" s="6" t="n"/>
      <c r="AP83" s="63" t="n"/>
      <c r="AQ83" s="6" t="n"/>
      <c r="AR83" s="62" t="n"/>
      <c r="AS83" s="5" t="n"/>
      <c r="AT83" s="6" t="n"/>
      <c r="AU83" s="63" t="n"/>
      <c r="AV83" s="6" t="n"/>
      <c r="AW83" s="63" t="n"/>
      <c r="AX83" s="6" t="n"/>
      <c r="AY83" s="63" t="n"/>
      <c r="AZ83" s="6" t="n"/>
      <c r="BA83" s="63" t="n"/>
      <c r="BB83" s="5" t="n"/>
      <c r="BC83" s="6" t="n"/>
      <c r="BD83" s="63" t="n"/>
      <c r="BE83" s="6" t="n"/>
      <c r="BF83" s="62" t="n"/>
      <c r="BG83" s="5" t="n"/>
      <c r="BH83" s="6" t="n"/>
      <c r="BI83" s="64" t="n"/>
      <c r="BJ83" s="5" t="n"/>
      <c r="BK83" s="42" t="n"/>
    </row>
    <row r="84" ht="20" customHeight="1">
      <c r="A84" s="65" t="n"/>
      <c r="B84" s="6" t="n"/>
      <c r="C84" s="66" t="n"/>
      <c r="D84" s="5" t="n"/>
      <c r="E84" s="5" t="n"/>
      <c r="F84" s="6" t="n"/>
      <c r="G84" s="66" t="n"/>
      <c r="H84" s="5" t="n"/>
      <c r="I84" s="6" t="n"/>
      <c r="J84" s="66" t="n"/>
      <c r="K84" s="5" t="n"/>
      <c r="L84" s="6" t="n"/>
      <c r="M84" s="66" t="n"/>
      <c r="N84" s="5" t="n"/>
      <c r="O84" s="5" t="n"/>
      <c r="P84" s="5" t="n"/>
      <c r="Q84" s="6" t="n"/>
      <c r="R84" s="66" t="n"/>
      <c r="S84" s="5" t="n"/>
      <c r="T84" s="5" t="n"/>
      <c r="U84" s="5" t="n"/>
      <c r="V84" s="5" t="n"/>
      <c r="W84" s="5" t="n"/>
      <c r="X84" s="6" t="n"/>
      <c r="Y84" s="66" t="n"/>
      <c r="Z84" s="5" t="n"/>
      <c r="AA84" s="5" t="n"/>
      <c r="AB84" s="5" t="n"/>
      <c r="AC84" s="5" t="n"/>
      <c r="AD84" s="6" t="n"/>
      <c r="AE84" s="67" t="n"/>
      <c r="AF84" s="6" t="n"/>
      <c r="AG84" s="67" t="n"/>
      <c r="AH84" s="6" t="n"/>
      <c r="AI84" s="67" t="n"/>
      <c r="AJ84" s="6" t="n"/>
      <c r="AK84" s="67" t="n"/>
      <c r="AL84" s="6" t="n"/>
      <c r="AM84" s="67" t="n"/>
      <c r="AN84" s="5" t="n"/>
      <c r="AO84" s="6" t="n"/>
      <c r="AP84" s="67" t="n"/>
      <c r="AQ84" s="6" t="n"/>
      <c r="AR84" s="66" t="n"/>
      <c r="AS84" s="5" t="n"/>
      <c r="AT84" s="6" t="n"/>
      <c r="AU84" s="67" t="n"/>
      <c r="AV84" s="6" t="n"/>
      <c r="AW84" s="67" t="n"/>
      <c r="AX84" s="6" t="n"/>
      <c r="AY84" s="67" t="n"/>
      <c r="AZ84" s="6" t="n"/>
      <c r="BA84" s="67" t="n"/>
      <c r="BB84" s="5" t="n"/>
      <c r="BC84" s="6" t="n"/>
      <c r="BD84" s="67" t="n"/>
      <c r="BE84" s="6" t="n"/>
      <c r="BF84" s="66" t="n"/>
      <c r="BG84" s="5" t="n"/>
      <c r="BH84" s="6" t="n"/>
      <c r="BI84" s="68" t="n"/>
      <c r="BJ84" s="5" t="n"/>
      <c r="BK84" s="42" t="n"/>
    </row>
    <row r="85" ht="20" customHeight="1">
      <c r="A85" s="61" t="n"/>
      <c r="B85" s="6" t="n"/>
      <c r="C85" s="62" t="n"/>
      <c r="D85" s="5" t="n"/>
      <c r="E85" s="5" t="n"/>
      <c r="F85" s="6" t="n"/>
      <c r="G85" s="62" t="n"/>
      <c r="H85" s="5" t="n"/>
      <c r="I85" s="6" t="n"/>
      <c r="J85" s="62" t="n"/>
      <c r="K85" s="5" t="n"/>
      <c r="L85" s="6" t="n"/>
      <c r="M85" s="62" t="n"/>
      <c r="N85" s="5" t="n"/>
      <c r="O85" s="5" t="n"/>
      <c r="P85" s="5" t="n"/>
      <c r="Q85" s="6" t="n"/>
      <c r="R85" s="62" t="n"/>
      <c r="S85" s="5" t="n"/>
      <c r="T85" s="5" t="n"/>
      <c r="U85" s="5" t="n"/>
      <c r="V85" s="5" t="n"/>
      <c r="W85" s="5" t="n"/>
      <c r="X85" s="6" t="n"/>
      <c r="Y85" s="62" t="n"/>
      <c r="Z85" s="5" t="n"/>
      <c r="AA85" s="5" t="n"/>
      <c r="AB85" s="5" t="n"/>
      <c r="AC85" s="5" t="n"/>
      <c r="AD85" s="6" t="n"/>
      <c r="AE85" s="63" t="n"/>
      <c r="AF85" s="6" t="n"/>
      <c r="AG85" s="63" t="n"/>
      <c r="AH85" s="6" t="n"/>
      <c r="AI85" s="63" t="n"/>
      <c r="AJ85" s="6" t="n"/>
      <c r="AK85" s="63" t="n"/>
      <c r="AL85" s="6" t="n"/>
      <c r="AM85" s="63" t="n"/>
      <c r="AN85" s="5" t="n"/>
      <c r="AO85" s="6" t="n"/>
      <c r="AP85" s="63" t="n"/>
      <c r="AQ85" s="6" t="n"/>
      <c r="AR85" s="62" t="n"/>
      <c r="AS85" s="5" t="n"/>
      <c r="AT85" s="6" t="n"/>
      <c r="AU85" s="63" t="n"/>
      <c r="AV85" s="6" t="n"/>
      <c r="AW85" s="63" t="n"/>
      <c r="AX85" s="6" t="n"/>
      <c r="AY85" s="63" t="n"/>
      <c r="AZ85" s="6" t="n"/>
      <c r="BA85" s="63" t="n"/>
      <c r="BB85" s="5" t="n"/>
      <c r="BC85" s="6" t="n"/>
      <c r="BD85" s="63" t="n"/>
      <c r="BE85" s="6" t="n"/>
      <c r="BF85" s="62" t="n"/>
      <c r="BG85" s="5" t="n"/>
      <c r="BH85" s="6" t="n"/>
      <c r="BI85" s="64" t="n"/>
      <c r="BJ85" s="5" t="n"/>
      <c r="BK85" s="42" t="n"/>
    </row>
    <row r="86" ht="20" customHeight="1">
      <c r="A86" s="65" t="n"/>
      <c r="B86" s="6" t="n"/>
      <c r="C86" s="66" t="n"/>
      <c r="D86" s="5" t="n"/>
      <c r="E86" s="5" t="n"/>
      <c r="F86" s="6" t="n"/>
      <c r="G86" s="66" t="n"/>
      <c r="H86" s="5" t="n"/>
      <c r="I86" s="6" t="n"/>
      <c r="J86" s="66" t="n"/>
      <c r="K86" s="5" t="n"/>
      <c r="L86" s="6" t="n"/>
      <c r="M86" s="66" t="n"/>
      <c r="N86" s="5" t="n"/>
      <c r="O86" s="5" t="n"/>
      <c r="P86" s="5" t="n"/>
      <c r="Q86" s="6" t="n"/>
      <c r="R86" s="66" t="n"/>
      <c r="S86" s="5" t="n"/>
      <c r="T86" s="5" t="n"/>
      <c r="U86" s="5" t="n"/>
      <c r="V86" s="5" t="n"/>
      <c r="W86" s="5" t="n"/>
      <c r="X86" s="6" t="n"/>
      <c r="Y86" s="66" t="n"/>
      <c r="Z86" s="5" t="n"/>
      <c r="AA86" s="5" t="n"/>
      <c r="AB86" s="5" t="n"/>
      <c r="AC86" s="5" t="n"/>
      <c r="AD86" s="6" t="n"/>
      <c r="AE86" s="67" t="n"/>
      <c r="AF86" s="6" t="n"/>
      <c r="AG86" s="67" t="n"/>
      <c r="AH86" s="6" t="n"/>
      <c r="AI86" s="67" t="n"/>
      <c r="AJ86" s="6" t="n"/>
      <c r="AK86" s="67" t="n"/>
      <c r="AL86" s="6" t="n"/>
      <c r="AM86" s="67" t="n"/>
      <c r="AN86" s="5" t="n"/>
      <c r="AO86" s="6" t="n"/>
      <c r="AP86" s="67" t="n"/>
      <c r="AQ86" s="6" t="n"/>
      <c r="AR86" s="66" t="n"/>
      <c r="AS86" s="5" t="n"/>
      <c r="AT86" s="6" t="n"/>
      <c r="AU86" s="67" t="n"/>
      <c r="AV86" s="6" t="n"/>
      <c r="AW86" s="67" t="n"/>
      <c r="AX86" s="6" t="n"/>
      <c r="AY86" s="67" t="n"/>
      <c r="AZ86" s="6" t="n"/>
      <c r="BA86" s="67" t="n"/>
      <c r="BB86" s="5" t="n"/>
      <c r="BC86" s="6" t="n"/>
      <c r="BD86" s="67" t="n"/>
      <c r="BE86" s="6" t="n"/>
      <c r="BF86" s="66" t="n"/>
      <c r="BG86" s="5" t="n"/>
      <c r="BH86" s="6" t="n"/>
      <c r="BI86" s="68" t="n"/>
      <c r="BJ86" s="5" t="n"/>
      <c r="BK86" s="42" t="n"/>
    </row>
    <row r="87" ht="20" customHeight="1">
      <c r="A87" s="61" t="n"/>
      <c r="B87" s="6" t="n"/>
      <c r="C87" s="62" t="n"/>
      <c r="D87" s="5" t="n"/>
      <c r="E87" s="5" t="n"/>
      <c r="F87" s="6" t="n"/>
      <c r="G87" s="62" t="n"/>
      <c r="H87" s="5" t="n"/>
      <c r="I87" s="6" t="n"/>
      <c r="J87" s="62" t="n"/>
      <c r="K87" s="5" t="n"/>
      <c r="L87" s="6" t="n"/>
      <c r="M87" s="62" t="n"/>
      <c r="N87" s="5" t="n"/>
      <c r="O87" s="5" t="n"/>
      <c r="P87" s="5" t="n"/>
      <c r="Q87" s="6" t="n"/>
      <c r="R87" s="62" t="n"/>
      <c r="S87" s="5" t="n"/>
      <c r="T87" s="5" t="n"/>
      <c r="U87" s="5" t="n"/>
      <c r="V87" s="5" t="n"/>
      <c r="W87" s="5" t="n"/>
      <c r="X87" s="6" t="n"/>
      <c r="Y87" s="62" t="n"/>
      <c r="Z87" s="5" t="n"/>
      <c r="AA87" s="5" t="n"/>
      <c r="AB87" s="5" t="n"/>
      <c r="AC87" s="5" t="n"/>
      <c r="AD87" s="6" t="n"/>
      <c r="AE87" s="63" t="n"/>
      <c r="AF87" s="6" t="n"/>
      <c r="AG87" s="63" t="n"/>
      <c r="AH87" s="6" t="n"/>
      <c r="AI87" s="63" t="n"/>
      <c r="AJ87" s="6" t="n"/>
      <c r="AK87" s="63" t="n"/>
      <c r="AL87" s="6" t="n"/>
      <c r="AM87" s="63" t="n"/>
      <c r="AN87" s="5" t="n"/>
      <c r="AO87" s="6" t="n"/>
      <c r="AP87" s="63" t="n"/>
      <c r="AQ87" s="6" t="n"/>
      <c r="AR87" s="62" t="n"/>
      <c r="AS87" s="5" t="n"/>
      <c r="AT87" s="6" t="n"/>
      <c r="AU87" s="63" t="n"/>
      <c r="AV87" s="6" t="n"/>
      <c r="AW87" s="63" t="n"/>
      <c r="AX87" s="6" t="n"/>
      <c r="AY87" s="63" t="n"/>
      <c r="AZ87" s="6" t="n"/>
      <c r="BA87" s="63" t="n"/>
      <c r="BB87" s="5" t="n"/>
      <c r="BC87" s="6" t="n"/>
      <c r="BD87" s="63" t="n"/>
      <c r="BE87" s="6" t="n"/>
      <c r="BF87" s="62" t="n"/>
      <c r="BG87" s="5" t="n"/>
      <c r="BH87" s="6" t="n"/>
      <c r="BI87" s="64" t="n"/>
      <c r="BJ87" s="5" t="n"/>
      <c r="BK87" s="42" t="n"/>
    </row>
    <row r="88" ht="20" customHeight="1">
      <c r="A88" s="65" t="n"/>
      <c r="B88" s="6" t="n"/>
      <c r="C88" s="66" t="n"/>
      <c r="D88" s="5" t="n"/>
      <c r="E88" s="5" t="n"/>
      <c r="F88" s="6" t="n"/>
      <c r="G88" s="66" t="n"/>
      <c r="H88" s="5" t="n"/>
      <c r="I88" s="6" t="n"/>
      <c r="J88" s="66" t="n"/>
      <c r="K88" s="5" t="n"/>
      <c r="L88" s="6" t="n"/>
      <c r="M88" s="66" t="n"/>
      <c r="N88" s="5" t="n"/>
      <c r="O88" s="5" t="n"/>
      <c r="P88" s="5" t="n"/>
      <c r="Q88" s="6" t="n"/>
      <c r="R88" s="66" t="n"/>
      <c r="S88" s="5" t="n"/>
      <c r="T88" s="5" t="n"/>
      <c r="U88" s="5" t="n"/>
      <c r="V88" s="5" t="n"/>
      <c r="W88" s="5" t="n"/>
      <c r="X88" s="6" t="n"/>
      <c r="Y88" s="66" t="n"/>
      <c r="Z88" s="5" t="n"/>
      <c r="AA88" s="5" t="n"/>
      <c r="AB88" s="5" t="n"/>
      <c r="AC88" s="5" t="n"/>
      <c r="AD88" s="6" t="n"/>
      <c r="AE88" s="67" t="n"/>
      <c r="AF88" s="6" t="n"/>
      <c r="AG88" s="67" t="n"/>
      <c r="AH88" s="6" t="n"/>
      <c r="AI88" s="67" t="n"/>
      <c r="AJ88" s="6" t="n"/>
      <c r="AK88" s="67" t="n"/>
      <c r="AL88" s="6" t="n"/>
      <c r="AM88" s="67" t="n"/>
      <c r="AN88" s="5" t="n"/>
      <c r="AO88" s="6" t="n"/>
      <c r="AP88" s="67" t="n"/>
      <c r="AQ88" s="6" t="n"/>
      <c r="AR88" s="66" t="n"/>
      <c r="AS88" s="5" t="n"/>
      <c r="AT88" s="6" t="n"/>
      <c r="AU88" s="67" t="n"/>
      <c r="AV88" s="6" t="n"/>
      <c r="AW88" s="67" t="n"/>
      <c r="AX88" s="6" t="n"/>
      <c r="AY88" s="67" t="n"/>
      <c r="AZ88" s="6" t="n"/>
      <c r="BA88" s="67" t="n"/>
      <c r="BB88" s="5" t="n"/>
      <c r="BC88" s="6" t="n"/>
      <c r="BD88" s="67" t="n"/>
      <c r="BE88" s="6" t="n"/>
      <c r="BF88" s="66" t="n"/>
      <c r="BG88" s="5" t="n"/>
      <c r="BH88" s="6" t="n"/>
      <c r="BI88" s="68" t="n"/>
      <c r="BJ88" s="5" t="n"/>
      <c r="BK88" s="42" t="n"/>
    </row>
    <row r="89" ht="20" customHeight="1">
      <c r="A89" s="61" t="n"/>
      <c r="B89" s="6" t="n"/>
      <c r="C89" s="62" t="n"/>
      <c r="D89" s="5" t="n"/>
      <c r="E89" s="5" t="n"/>
      <c r="F89" s="6" t="n"/>
      <c r="G89" s="62" t="n"/>
      <c r="H89" s="5" t="n"/>
      <c r="I89" s="6" t="n"/>
      <c r="J89" s="62" t="n"/>
      <c r="K89" s="5" t="n"/>
      <c r="L89" s="6" t="n"/>
      <c r="M89" s="62" t="n"/>
      <c r="N89" s="5" t="n"/>
      <c r="O89" s="5" t="n"/>
      <c r="P89" s="5" t="n"/>
      <c r="Q89" s="6" t="n"/>
      <c r="R89" s="62" t="n"/>
      <c r="S89" s="5" t="n"/>
      <c r="T89" s="5" t="n"/>
      <c r="U89" s="5" t="n"/>
      <c r="V89" s="5" t="n"/>
      <c r="W89" s="5" t="n"/>
      <c r="X89" s="6" t="n"/>
      <c r="Y89" s="62" t="n"/>
      <c r="Z89" s="5" t="n"/>
      <c r="AA89" s="5" t="n"/>
      <c r="AB89" s="5" t="n"/>
      <c r="AC89" s="5" t="n"/>
      <c r="AD89" s="6" t="n"/>
      <c r="AE89" s="63" t="n"/>
      <c r="AF89" s="6" t="n"/>
      <c r="AG89" s="63" t="n"/>
      <c r="AH89" s="6" t="n"/>
      <c r="AI89" s="63" t="n"/>
      <c r="AJ89" s="6" t="n"/>
      <c r="AK89" s="63" t="n"/>
      <c r="AL89" s="6" t="n"/>
      <c r="AM89" s="63" t="n"/>
      <c r="AN89" s="5" t="n"/>
      <c r="AO89" s="6" t="n"/>
      <c r="AP89" s="63" t="n"/>
      <c r="AQ89" s="6" t="n"/>
      <c r="AR89" s="62" t="n"/>
      <c r="AS89" s="5" t="n"/>
      <c r="AT89" s="6" t="n"/>
      <c r="AU89" s="63" t="n"/>
      <c r="AV89" s="6" t="n"/>
      <c r="AW89" s="63" t="n"/>
      <c r="AX89" s="6" t="n"/>
      <c r="AY89" s="63" t="n"/>
      <c r="AZ89" s="6" t="n"/>
      <c r="BA89" s="63" t="n"/>
      <c r="BB89" s="5" t="n"/>
      <c r="BC89" s="6" t="n"/>
      <c r="BD89" s="63" t="n"/>
      <c r="BE89" s="6" t="n"/>
      <c r="BF89" s="62" t="n"/>
      <c r="BG89" s="5" t="n"/>
      <c r="BH89" s="6" t="n"/>
      <c r="BI89" s="64" t="n"/>
      <c r="BJ89" s="5" t="n"/>
      <c r="BK89" s="42" t="n"/>
    </row>
    <row r="90" ht="20" customHeight="1">
      <c r="A90" s="65" t="n"/>
      <c r="B90" s="6" t="n"/>
      <c r="C90" s="66" t="n"/>
      <c r="D90" s="5" t="n"/>
      <c r="E90" s="5" t="n"/>
      <c r="F90" s="6" t="n"/>
      <c r="G90" s="66" t="n"/>
      <c r="H90" s="5" t="n"/>
      <c r="I90" s="6" t="n"/>
      <c r="J90" s="66" t="n"/>
      <c r="K90" s="5" t="n"/>
      <c r="L90" s="6" t="n"/>
      <c r="M90" s="66" t="n"/>
      <c r="N90" s="5" t="n"/>
      <c r="O90" s="5" t="n"/>
      <c r="P90" s="5" t="n"/>
      <c r="Q90" s="6" t="n"/>
      <c r="R90" s="66" t="n"/>
      <c r="S90" s="5" t="n"/>
      <c r="T90" s="5" t="n"/>
      <c r="U90" s="5" t="n"/>
      <c r="V90" s="5" t="n"/>
      <c r="W90" s="5" t="n"/>
      <c r="X90" s="6" t="n"/>
      <c r="Y90" s="66" t="n"/>
      <c r="Z90" s="5" t="n"/>
      <c r="AA90" s="5" t="n"/>
      <c r="AB90" s="5" t="n"/>
      <c r="AC90" s="5" t="n"/>
      <c r="AD90" s="6" t="n"/>
      <c r="AE90" s="67" t="n"/>
      <c r="AF90" s="6" t="n"/>
      <c r="AG90" s="67" t="n"/>
      <c r="AH90" s="6" t="n"/>
      <c r="AI90" s="67" t="n"/>
      <c r="AJ90" s="6" t="n"/>
      <c r="AK90" s="67" t="n"/>
      <c r="AL90" s="6" t="n"/>
      <c r="AM90" s="67" t="n"/>
      <c r="AN90" s="5" t="n"/>
      <c r="AO90" s="6" t="n"/>
      <c r="AP90" s="67" t="n"/>
      <c r="AQ90" s="6" t="n"/>
      <c r="AR90" s="66" t="n"/>
      <c r="AS90" s="5" t="n"/>
      <c r="AT90" s="6" t="n"/>
      <c r="AU90" s="67" t="n"/>
      <c r="AV90" s="6" t="n"/>
      <c r="AW90" s="67" t="n"/>
      <c r="AX90" s="6" t="n"/>
      <c r="AY90" s="67" t="n"/>
      <c r="AZ90" s="6" t="n"/>
      <c r="BA90" s="67" t="n"/>
      <c r="BB90" s="5" t="n"/>
      <c r="BC90" s="6" t="n"/>
      <c r="BD90" s="67" t="n"/>
      <c r="BE90" s="6" t="n"/>
      <c r="BF90" s="66" t="n"/>
      <c r="BG90" s="5" t="n"/>
      <c r="BH90" s="6" t="n"/>
      <c r="BI90" s="68" t="n"/>
      <c r="BJ90" s="5" t="n"/>
      <c r="BK90" s="42" t="n"/>
    </row>
    <row r="91" ht="20" customHeight="1">
      <c r="A91" s="61" t="n"/>
      <c r="B91" s="6" t="n"/>
      <c r="C91" s="62" t="n"/>
      <c r="D91" s="5" t="n"/>
      <c r="E91" s="5" t="n"/>
      <c r="F91" s="6" t="n"/>
      <c r="G91" s="62" t="n"/>
      <c r="H91" s="5" t="n"/>
      <c r="I91" s="6" t="n"/>
      <c r="J91" s="62" t="n"/>
      <c r="K91" s="5" t="n"/>
      <c r="L91" s="6" t="n"/>
      <c r="M91" s="62" t="n"/>
      <c r="N91" s="5" t="n"/>
      <c r="O91" s="5" t="n"/>
      <c r="P91" s="5" t="n"/>
      <c r="Q91" s="6" t="n"/>
      <c r="R91" s="62" t="n"/>
      <c r="S91" s="5" t="n"/>
      <c r="T91" s="5" t="n"/>
      <c r="U91" s="5" t="n"/>
      <c r="V91" s="5" t="n"/>
      <c r="W91" s="5" t="n"/>
      <c r="X91" s="6" t="n"/>
      <c r="Y91" s="62" t="n"/>
      <c r="Z91" s="5" t="n"/>
      <c r="AA91" s="5" t="n"/>
      <c r="AB91" s="5" t="n"/>
      <c r="AC91" s="5" t="n"/>
      <c r="AD91" s="6" t="n"/>
      <c r="AE91" s="63" t="n"/>
      <c r="AF91" s="6" t="n"/>
      <c r="AG91" s="63" t="n"/>
      <c r="AH91" s="6" t="n"/>
      <c r="AI91" s="63" t="n"/>
      <c r="AJ91" s="6" t="n"/>
      <c r="AK91" s="63" t="n"/>
      <c r="AL91" s="6" t="n"/>
      <c r="AM91" s="63" t="n"/>
      <c r="AN91" s="5" t="n"/>
      <c r="AO91" s="6" t="n"/>
      <c r="AP91" s="63" t="n"/>
      <c r="AQ91" s="6" t="n"/>
      <c r="AR91" s="62" t="n"/>
      <c r="AS91" s="5" t="n"/>
      <c r="AT91" s="6" t="n"/>
      <c r="AU91" s="63" t="n"/>
      <c r="AV91" s="6" t="n"/>
      <c r="AW91" s="63" t="n"/>
      <c r="AX91" s="6" t="n"/>
      <c r="AY91" s="63" t="n"/>
      <c r="AZ91" s="6" t="n"/>
      <c r="BA91" s="63" t="n"/>
      <c r="BB91" s="5" t="n"/>
      <c r="BC91" s="6" t="n"/>
      <c r="BD91" s="63" t="n"/>
      <c r="BE91" s="6" t="n"/>
      <c r="BF91" s="62" t="n"/>
      <c r="BG91" s="5" t="n"/>
      <c r="BH91" s="6" t="n"/>
      <c r="BI91" s="64" t="n"/>
      <c r="BJ91" s="5" t="n"/>
      <c r="BK91" s="42" t="n"/>
    </row>
    <row r="92" ht="20" customHeight="1">
      <c r="A92" s="65" t="n"/>
      <c r="B92" s="6" t="n"/>
      <c r="C92" s="66" t="n"/>
      <c r="D92" s="5" t="n"/>
      <c r="E92" s="5" t="n"/>
      <c r="F92" s="6" t="n"/>
      <c r="G92" s="66" t="n"/>
      <c r="H92" s="5" t="n"/>
      <c r="I92" s="6" t="n"/>
      <c r="J92" s="66" t="n"/>
      <c r="K92" s="5" t="n"/>
      <c r="L92" s="6" t="n"/>
      <c r="M92" s="66" t="n"/>
      <c r="N92" s="5" t="n"/>
      <c r="O92" s="5" t="n"/>
      <c r="P92" s="5" t="n"/>
      <c r="Q92" s="6" t="n"/>
      <c r="R92" s="66" t="n"/>
      <c r="S92" s="5" t="n"/>
      <c r="T92" s="5" t="n"/>
      <c r="U92" s="5" t="n"/>
      <c r="V92" s="5" t="n"/>
      <c r="W92" s="5" t="n"/>
      <c r="X92" s="6" t="n"/>
      <c r="Y92" s="66" t="n"/>
      <c r="Z92" s="5" t="n"/>
      <c r="AA92" s="5" t="n"/>
      <c r="AB92" s="5" t="n"/>
      <c r="AC92" s="5" t="n"/>
      <c r="AD92" s="6" t="n"/>
      <c r="AE92" s="67" t="n"/>
      <c r="AF92" s="6" t="n"/>
      <c r="AG92" s="67" t="n"/>
      <c r="AH92" s="6" t="n"/>
      <c r="AI92" s="67" t="n"/>
      <c r="AJ92" s="6" t="n"/>
      <c r="AK92" s="67" t="n"/>
      <c r="AL92" s="6" t="n"/>
      <c r="AM92" s="67" t="n"/>
      <c r="AN92" s="5" t="n"/>
      <c r="AO92" s="6" t="n"/>
      <c r="AP92" s="67" t="n"/>
      <c r="AQ92" s="6" t="n"/>
      <c r="AR92" s="66" t="n"/>
      <c r="AS92" s="5" t="n"/>
      <c r="AT92" s="6" t="n"/>
      <c r="AU92" s="67" t="n"/>
      <c r="AV92" s="6" t="n"/>
      <c r="AW92" s="67" t="n"/>
      <c r="AX92" s="6" t="n"/>
      <c r="AY92" s="67" t="n"/>
      <c r="AZ92" s="6" t="n"/>
      <c r="BA92" s="67" t="n"/>
      <c r="BB92" s="5" t="n"/>
      <c r="BC92" s="6" t="n"/>
      <c r="BD92" s="67" t="n"/>
      <c r="BE92" s="6" t="n"/>
      <c r="BF92" s="66" t="n"/>
      <c r="BG92" s="5" t="n"/>
      <c r="BH92" s="6" t="n"/>
      <c r="BI92" s="68" t="n"/>
      <c r="BJ92" s="5" t="n"/>
      <c r="BK92" s="42" t="n"/>
    </row>
    <row r="93" ht="20" customHeight="1">
      <c r="A93" s="61" t="n"/>
      <c r="B93" s="6" t="n"/>
      <c r="C93" s="62" t="n"/>
      <c r="D93" s="5" t="n"/>
      <c r="E93" s="5" t="n"/>
      <c r="F93" s="6" t="n"/>
      <c r="G93" s="62" t="n"/>
      <c r="H93" s="5" t="n"/>
      <c r="I93" s="6" t="n"/>
      <c r="J93" s="62" t="n"/>
      <c r="K93" s="5" t="n"/>
      <c r="L93" s="6" t="n"/>
      <c r="M93" s="62" t="n"/>
      <c r="N93" s="5" t="n"/>
      <c r="O93" s="5" t="n"/>
      <c r="P93" s="5" t="n"/>
      <c r="Q93" s="6" t="n"/>
      <c r="R93" s="62" t="n"/>
      <c r="S93" s="5" t="n"/>
      <c r="T93" s="5" t="n"/>
      <c r="U93" s="5" t="n"/>
      <c r="V93" s="5" t="n"/>
      <c r="W93" s="5" t="n"/>
      <c r="X93" s="6" t="n"/>
      <c r="Y93" s="62" t="n"/>
      <c r="Z93" s="5" t="n"/>
      <c r="AA93" s="5" t="n"/>
      <c r="AB93" s="5" t="n"/>
      <c r="AC93" s="5" t="n"/>
      <c r="AD93" s="6" t="n"/>
      <c r="AE93" s="63" t="n"/>
      <c r="AF93" s="6" t="n"/>
      <c r="AG93" s="63" t="n"/>
      <c r="AH93" s="6" t="n"/>
      <c r="AI93" s="63" t="n"/>
      <c r="AJ93" s="6" t="n"/>
      <c r="AK93" s="63" t="n"/>
      <c r="AL93" s="6" t="n"/>
      <c r="AM93" s="63" t="n"/>
      <c r="AN93" s="5" t="n"/>
      <c r="AO93" s="6" t="n"/>
      <c r="AP93" s="63" t="n"/>
      <c r="AQ93" s="6" t="n"/>
      <c r="AR93" s="62" t="n"/>
      <c r="AS93" s="5" t="n"/>
      <c r="AT93" s="6" t="n"/>
      <c r="AU93" s="63" t="n"/>
      <c r="AV93" s="6" t="n"/>
      <c r="AW93" s="63" t="n"/>
      <c r="AX93" s="6" t="n"/>
      <c r="AY93" s="63" t="n"/>
      <c r="AZ93" s="6" t="n"/>
      <c r="BA93" s="63" t="n"/>
      <c r="BB93" s="5" t="n"/>
      <c r="BC93" s="6" t="n"/>
      <c r="BD93" s="63" t="n"/>
      <c r="BE93" s="6" t="n"/>
      <c r="BF93" s="62" t="n"/>
      <c r="BG93" s="5" t="n"/>
      <c r="BH93" s="6" t="n"/>
      <c r="BI93" s="64" t="n"/>
      <c r="BJ93" s="5" t="n"/>
      <c r="BK93" s="42" t="n"/>
    </row>
    <row r="94" ht="20" customHeight="1">
      <c r="A94" s="65" t="n"/>
      <c r="B94" s="6" t="n"/>
      <c r="C94" s="66" t="n"/>
      <c r="D94" s="5" t="n"/>
      <c r="E94" s="5" t="n"/>
      <c r="F94" s="6" t="n"/>
      <c r="G94" s="66" t="n"/>
      <c r="H94" s="5" t="n"/>
      <c r="I94" s="6" t="n"/>
      <c r="J94" s="66" t="n"/>
      <c r="K94" s="5" t="n"/>
      <c r="L94" s="6" t="n"/>
      <c r="M94" s="66" t="n"/>
      <c r="N94" s="5" t="n"/>
      <c r="O94" s="5" t="n"/>
      <c r="P94" s="5" t="n"/>
      <c r="Q94" s="6" t="n"/>
      <c r="R94" s="66" t="n"/>
      <c r="S94" s="5" t="n"/>
      <c r="T94" s="5" t="n"/>
      <c r="U94" s="5" t="n"/>
      <c r="V94" s="5" t="n"/>
      <c r="W94" s="5" t="n"/>
      <c r="X94" s="6" t="n"/>
      <c r="Y94" s="66" t="n"/>
      <c r="Z94" s="5" t="n"/>
      <c r="AA94" s="5" t="n"/>
      <c r="AB94" s="5" t="n"/>
      <c r="AC94" s="5" t="n"/>
      <c r="AD94" s="6" t="n"/>
      <c r="AE94" s="67" t="n"/>
      <c r="AF94" s="6" t="n"/>
      <c r="AG94" s="67" t="n"/>
      <c r="AH94" s="6" t="n"/>
      <c r="AI94" s="67" t="n"/>
      <c r="AJ94" s="6" t="n"/>
      <c r="AK94" s="67" t="n"/>
      <c r="AL94" s="6" t="n"/>
      <c r="AM94" s="67" t="n"/>
      <c r="AN94" s="5" t="n"/>
      <c r="AO94" s="6" t="n"/>
      <c r="AP94" s="67" t="n"/>
      <c r="AQ94" s="6" t="n"/>
      <c r="AR94" s="66" t="n"/>
      <c r="AS94" s="5" t="n"/>
      <c r="AT94" s="6" t="n"/>
      <c r="AU94" s="67" t="n"/>
      <c r="AV94" s="6" t="n"/>
      <c r="AW94" s="67" t="n"/>
      <c r="AX94" s="6" t="n"/>
      <c r="AY94" s="67" t="n"/>
      <c r="AZ94" s="6" t="n"/>
      <c r="BA94" s="67" t="n"/>
      <c r="BB94" s="5" t="n"/>
      <c r="BC94" s="6" t="n"/>
      <c r="BD94" s="67" t="n"/>
      <c r="BE94" s="6" t="n"/>
      <c r="BF94" s="66" t="n"/>
      <c r="BG94" s="5" t="n"/>
      <c r="BH94" s="6" t="n"/>
      <c r="BI94" s="68" t="n"/>
      <c r="BJ94" s="5" t="n"/>
      <c r="BK94" s="42" t="n"/>
    </row>
    <row r="95" ht="20" customHeight="1">
      <c r="A95" s="61" t="n"/>
      <c r="B95" s="6" t="n"/>
      <c r="C95" s="62" t="n"/>
      <c r="D95" s="5" t="n"/>
      <c r="E95" s="5" t="n"/>
      <c r="F95" s="6" t="n"/>
      <c r="G95" s="62" t="n"/>
      <c r="H95" s="5" t="n"/>
      <c r="I95" s="6" t="n"/>
      <c r="J95" s="62" t="n"/>
      <c r="K95" s="5" t="n"/>
      <c r="L95" s="6" t="n"/>
      <c r="M95" s="62" t="n"/>
      <c r="N95" s="5" t="n"/>
      <c r="O95" s="5" t="n"/>
      <c r="P95" s="5" t="n"/>
      <c r="Q95" s="6" t="n"/>
      <c r="R95" s="62" t="n"/>
      <c r="S95" s="5" t="n"/>
      <c r="T95" s="5" t="n"/>
      <c r="U95" s="5" t="n"/>
      <c r="V95" s="5" t="n"/>
      <c r="W95" s="5" t="n"/>
      <c r="X95" s="6" t="n"/>
      <c r="Y95" s="62" t="n"/>
      <c r="Z95" s="5" t="n"/>
      <c r="AA95" s="5" t="n"/>
      <c r="AB95" s="5" t="n"/>
      <c r="AC95" s="5" t="n"/>
      <c r="AD95" s="6" t="n"/>
      <c r="AE95" s="63" t="n"/>
      <c r="AF95" s="6" t="n"/>
      <c r="AG95" s="63" t="n"/>
      <c r="AH95" s="6" t="n"/>
      <c r="AI95" s="63" t="n"/>
      <c r="AJ95" s="6" t="n"/>
      <c r="AK95" s="63" t="n"/>
      <c r="AL95" s="6" t="n"/>
      <c r="AM95" s="63" t="n"/>
      <c r="AN95" s="5" t="n"/>
      <c r="AO95" s="6" t="n"/>
      <c r="AP95" s="63" t="n"/>
      <c r="AQ95" s="6" t="n"/>
      <c r="AR95" s="62" t="n"/>
      <c r="AS95" s="5" t="n"/>
      <c r="AT95" s="6" t="n"/>
      <c r="AU95" s="63" t="n"/>
      <c r="AV95" s="6" t="n"/>
      <c r="AW95" s="63" t="n"/>
      <c r="AX95" s="6" t="n"/>
      <c r="AY95" s="63" t="n"/>
      <c r="AZ95" s="6" t="n"/>
      <c r="BA95" s="63" t="n"/>
      <c r="BB95" s="5" t="n"/>
      <c r="BC95" s="6" t="n"/>
      <c r="BD95" s="63" t="n"/>
      <c r="BE95" s="6" t="n"/>
      <c r="BF95" s="62" t="n"/>
      <c r="BG95" s="5" t="n"/>
      <c r="BH95" s="6" t="n"/>
      <c r="BI95" s="64" t="n"/>
      <c r="BJ95" s="5" t="n"/>
      <c r="BK95" s="42" t="n"/>
    </row>
    <row r="96" ht="20" customHeight="1">
      <c r="A96" s="65" t="n"/>
      <c r="B96" s="6" t="n"/>
      <c r="C96" s="66" t="n"/>
      <c r="D96" s="5" t="n"/>
      <c r="E96" s="5" t="n"/>
      <c r="F96" s="6" t="n"/>
      <c r="G96" s="66" t="n"/>
      <c r="H96" s="5" t="n"/>
      <c r="I96" s="6" t="n"/>
      <c r="J96" s="66" t="n"/>
      <c r="K96" s="5" t="n"/>
      <c r="L96" s="6" t="n"/>
      <c r="M96" s="66" t="n"/>
      <c r="N96" s="5" t="n"/>
      <c r="O96" s="5" t="n"/>
      <c r="P96" s="5" t="n"/>
      <c r="Q96" s="6" t="n"/>
      <c r="R96" s="66" t="n"/>
      <c r="S96" s="5" t="n"/>
      <c r="T96" s="5" t="n"/>
      <c r="U96" s="5" t="n"/>
      <c r="V96" s="5" t="n"/>
      <c r="W96" s="5" t="n"/>
      <c r="X96" s="6" t="n"/>
      <c r="Y96" s="66" t="n"/>
      <c r="Z96" s="5" t="n"/>
      <c r="AA96" s="5" t="n"/>
      <c r="AB96" s="5" t="n"/>
      <c r="AC96" s="5" t="n"/>
      <c r="AD96" s="6" t="n"/>
      <c r="AE96" s="67" t="n"/>
      <c r="AF96" s="6" t="n"/>
      <c r="AG96" s="67" t="n"/>
      <c r="AH96" s="6" t="n"/>
      <c r="AI96" s="67" t="n"/>
      <c r="AJ96" s="6" t="n"/>
      <c r="AK96" s="67" t="n"/>
      <c r="AL96" s="6" t="n"/>
      <c r="AM96" s="67" t="n"/>
      <c r="AN96" s="5" t="n"/>
      <c r="AO96" s="6" t="n"/>
      <c r="AP96" s="67" t="n"/>
      <c r="AQ96" s="6" t="n"/>
      <c r="AR96" s="66" t="n"/>
      <c r="AS96" s="5" t="n"/>
      <c r="AT96" s="6" t="n"/>
      <c r="AU96" s="67" t="n"/>
      <c r="AV96" s="6" t="n"/>
      <c r="AW96" s="67" t="n"/>
      <c r="AX96" s="6" t="n"/>
      <c r="AY96" s="67" t="n"/>
      <c r="AZ96" s="6" t="n"/>
      <c r="BA96" s="67" t="n"/>
      <c r="BB96" s="5" t="n"/>
      <c r="BC96" s="6" t="n"/>
      <c r="BD96" s="67" t="n"/>
      <c r="BE96" s="6" t="n"/>
      <c r="BF96" s="66" t="n"/>
      <c r="BG96" s="5" t="n"/>
      <c r="BH96" s="6" t="n"/>
      <c r="BI96" s="68" t="n"/>
      <c r="BJ96" s="5" t="n"/>
      <c r="BK96" s="42" t="n"/>
    </row>
    <row r="97" ht="20" customHeight="1">
      <c r="A97" s="61" t="n"/>
      <c r="B97" s="6" t="n"/>
      <c r="C97" s="62" t="n"/>
      <c r="D97" s="5" t="n"/>
      <c r="E97" s="5" t="n"/>
      <c r="F97" s="6" t="n"/>
      <c r="G97" s="62" t="n"/>
      <c r="H97" s="5" t="n"/>
      <c r="I97" s="6" t="n"/>
      <c r="J97" s="62" t="n"/>
      <c r="K97" s="5" t="n"/>
      <c r="L97" s="6" t="n"/>
      <c r="M97" s="62" t="n"/>
      <c r="N97" s="5" t="n"/>
      <c r="O97" s="5" t="n"/>
      <c r="P97" s="5" t="n"/>
      <c r="Q97" s="6" t="n"/>
      <c r="R97" s="62" t="n"/>
      <c r="S97" s="5" t="n"/>
      <c r="T97" s="5" t="n"/>
      <c r="U97" s="5" t="n"/>
      <c r="V97" s="5" t="n"/>
      <c r="W97" s="5" t="n"/>
      <c r="X97" s="6" t="n"/>
      <c r="Y97" s="62" t="n"/>
      <c r="Z97" s="5" t="n"/>
      <c r="AA97" s="5" t="n"/>
      <c r="AB97" s="5" t="n"/>
      <c r="AC97" s="5" t="n"/>
      <c r="AD97" s="6" t="n"/>
      <c r="AE97" s="63" t="n"/>
      <c r="AF97" s="6" t="n"/>
      <c r="AG97" s="63" t="n"/>
      <c r="AH97" s="6" t="n"/>
      <c r="AI97" s="63" t="n"/>
      <c r="AJ97" s="6" t="n"/>
      <c r="AK97" s="63" t="n"/>
      <c r="AL97" s="6" t="n"/>
      <c r="AM97" s="63" t="n"/>
      <c r="AN97" s="5" t="n"/>
      <c r="AO97" s="6" t="n"/>
      <c r="AP97" s="63" t="n"/>
      <c r="AQ97" s="6" t="n"/>
      <c r="AR97" s="62" t="n"/>
      <c r="AS97" s="5" t="n"/>
      <c r="AT97" s="6" t="n"/>
      <c r="AU97" s="63" t="n"/>
      <c r="AV97" s="6" t="n"/>
      <c r="AW97" s="63" t="n"/>
      <c r="AX97" s="6" t="n"/>
      <c r="AY97" s="63" t="n"/>
      <c r="AZ97" s="6" t="n"/>
      <c r="BA97" s="63" t="n"/>
      <c r="BB97" s="5" t="n"/>
      <c r="BC97" s="6" t="n"/>
      <c r="BD97" s="63" t="n"/>
      <c r="BE97" s="6" t="n"/>
      <c r="BF97" s="62" t="n"/>
      <c r="BG97" s="5" t="n"/>
      <c r="BH97" s="6" t="n"/>
      <c r="BI97" s="64" t="n"/>
      <c r="BJ97" s="5" t="n"/>
      <c r="BK97" s="42" t="n"/>
    </row>
    <row r="98" ht="20" customHeight="1">
      <c r="A98" s="65" t="n"/>
      <c r="B98" s="6" t="n"/>
      <c r="C98" s="66" t="n"/>
      <c r="D98" s="5" t="n"/>
      <c r="E98" s="5" t="n"/>
      <c r="F98" s="6" t="n"/>
      <c r="G98" s="66" t="n"/>
      <c r="H98" s="5" t="n"/>
      <c r="I98" s="6" t="n"/>
      <c r="J98" s="66" t="n"/>
      <c r="K98" s="5" t="n"/>
      <c r="L98" s="6" t="n"/>
      <c r="M98" s="66" t="n"/>
      <c r="N98" s="5" t="n"/>
      <c r="O98" s="5" t="n"/>
      <c r="P98" s="5" t="n"/>
      <c r="Q98" s="6" t="n"/>
      <c r="R98" s="66" t="n"/>
      <c r="S98" s="5" t="n"/>
      <c r="T98" s="5" t="n"/>
      <c r="U98" s="5" t="n"/>
      <c r="V98" s="5" t="n"/>
      <c r="W98" s="5" t="n"/>
      <c r="X98" s="6" t="n"/>
      <c r="Y98" s="66" t="n"/>
      <c r="Z98" s="5" t="n"/>
      <c r="AA98" s="5" t="n"/>
      <c r="AB98" s="5" t="n"/>
      <c r="AC98" s="5" t="n"/>
      <c r="AD98" s="6" t="n"/>
      <c r="AE98" s="67" t="n"/>
      <c r="AF98" s="6" t="n"/>
      <c r="AG98" s="67" t="n"/>
      <c r="AH98" s="6" t="n"/>
      <c r="AI98" s="67" t="n"/>
      <c r="AJ98" s="6" t="n"/>
      <c r="AK98" s="67" t="n"/>
      <c r="AL98" s="6" t="n"/>
      <c r="AM98" s="67" t="n"/>
      <c r="AN98" s="5" t="n"/>
      <c r="AO98" s="6" t="n"/>
      <c r="AP98" s="67" t="n"/>
      <c r="AQ98" s="6" t="n"/>
      <c r="AR98" s="66" t="n"/>
      <c r="AS98" s="5" t="n"/>
      <c r="AT98" s="6" t="n"/>
      <c r="AU98" s="67" t="n"/>
      <c r="AV98" s="6" t="n"/>
      <c r="AW98" s="67" t="n"/>
      <c r="AX98" s="6" t="n"/>
      <c r="AY98" s="67" t="n"/>
      <c r="AZ98" s="6" t="n"/>
      <c r="BA98" s="67" t="n"/>
      <c r="BB98" s="5" t="n"/>
      <c r="BC98" s="6" t="n"/>
      <c r="BD98" s="67" t="n"/>
      <c r="BE98" s="6" t="n"/>
      <c r="BF98" s="66" t="n"/>
      <c r="BG98" s="5" t="n"/>
      <c r="BH98" s="6" t="n"/>
      <c r="BI98" s="68" t="n"/>
      <c r="BJ98" s="5" t="n"/>
      <c r="BK98" s="42" t="n"/>
    </row>
    <row r="99" ht="20" customHeight="1">
      <c r="A99" s="61" t="n"/>
      <c r="B99" s="6" t="n"/>
      <c r="C99" s="62" t="n"/>
      <c r="D99" s="5" t="n"/>
      <c r="E99" s="5" t="n"/>
      <c r="F99" s="6" t="n"/>
      <c r="G99" s="62" t="n"/>
      <c r="H99" s="5" t="n"/>
      <c r="I99" s="6" t="n"/>
      <c r="J99" s="62" t="n"/>
      <c r="K99" s="5" t="n"/>
      <c r="L99" s="6" t="n"/>
      <c r="M99" s="62" t="n"/>
      <c r="N99" s="5" t="n"/>
      <c r="O99" s="5" t="n"/>
      <c r="P99" s="5" t="n"/>
      <c r="Q99" s="6" t="n"/>
      <c r="R99" s="62" t="n"/>
      <c r="S99" s="5" t="n"/>
      <c r="T99" s="5" t="n"/>
      <c r="U99" s="5" t="n"/>
      <c r="V99" s="5" t="n"/>
      <c r="W99" s="5" t="n"/>
      <c r="X99" s="6" t="n"/>
      <c r="Y99" s="62" t="n"/>
      <c r="Z99" s="5" t="n"/>
      <c r="AA99" s="5" t="n"/>
      <c r="AB99" s="5" t="n"/>
      <c r="AC99" s="5" t="n"/>
      <c r="AD99" s="6" t="n"/>
      <c r="AE99" s="63" t="n"/>
      <c r="AF99" s="6" t="n"/>
      <c r="AG99" s="63" t="n"/>
      <c r="AH99" s="6" t="n"/>
      <c r="AI99" s="63" t="n"/>
      <c r="AJ99" s="6" t="n"/>
      <c r="AK99" s="63" t="n"/>
      <c r="AL99" s="6" t="n"/>
      <c r="AM99" s="63" t="n"/>
      <c r="AN99" s="5" t="n"/>
      <c r="AO99" s="6" t="n"/>
      <c r="AP99" s="63" t="n"/>
      <c r="AQ99" s="6" t="n"/>
      <c r="AR99" s="62" t="n"/>
      <c r="AS99" s="5" t="n"/>
      <c r="AT99" s="6" t="n"/>
      <c r="AU99" s="63" t="n"/>
      <c r="AV99" s="6" t="n"/>
      <c r="AW99" s="63" t="n"/>
      <c r="AX99" s="6" t="n"/>
      <c r="AY99" s="63" t="n"/>
      <c r="AZ99" s="6" t="n"/>
      <c r="BA99" s="63" t="n"/>
      <c r="BB99" s="5" t="n"/>
      <c r="BC99" s="6" t="n"/>
      <c r="BD99" s="63" t="n"/>
      <c r="BE99" s="6" t="n"/>
      <c r="BF99" s="62" t="n"/>
      <c r="BG99" s="5" t="n"/>
      <c r="BH99" s="6" t="n"/>
      <c r="BI99" s="64" t="n"/>
      <c r="BJ99" s="5" t="n"/>
      <c r="BK99" s="42" t="n"/>
    </row>
    <row r="100" ht="20" customHeight="1">
      <c r="A100" s="65" t="n"/>
      <c r="B100" s="6" t="n"/>
      <c r="C100" s="66" t="n"/>
      <c r="D100" s="5" t="n"/>
      <c r="E100" s="5" t="n"/>
      <c r="F100" s="6" t="n"/>
      <c r="G100" s="66" t="n"/>
      <c r="H100" s="5" t="n"/>
      <c r="I100" s="6" t="n"/>
      <c r="J100" s="66" t="n"/>
      <c r="K100" s="5" t="n"/>
      <c r="L100" s="6" t="n"/>
      <c r="M100" s="66" t="n"/>
      <c r="N100" s="5" t="n"/>
      <c r="O100" s="5" t="n"/>
      <c r="P100" s="5" t="n"/>
      <c r="Q100" s="6" t="n"/>
      <c r="R100" s="66" t="n"/>
      <c r="S100" s="5" t="n"/>
      <c r="T100" s="5" t="n"/>
      <c r="U100" s="5" t="n"/>
      <c r="V100" s="5" t="n"/>
      <c r="W100" s="5" t="n"/>
      <c r="X100" s="6" t="n"/>
      <c r="Y100" s="66" t="n"/>
      <c r="Z100" s="5" t="n"/>
      <c r="AA100" s="5" t="n"/>
      <c r="AB100" s="5" t="n"/>
      <c r="AC100" s="5" t="n"/>
      <c r="AD100" s="6" t="n"/>
      <c r="AE100" s="67" t="n"/>
      <c r="AF100" s="6" t="n"/>
      <c r="AG100" s="67" t="n"/>
      <c r="AH100" s="6" t="n"/>
      <c r="AI100" s="67" t="n"/>
      <c r="AJ100" s="6" t="n"/>
      <c r="AK100" s="67" t="n"/>
      <c r="AL100" s="6" t="n"/>
      <c r="AM100" s="67" t="n"/>
      <c r="AN100" s="5" t="n"/>
      <c r="AO100" s="6" t="n"/>
      <c r="AP100" s="67" t="n"/>
      <c r="AQ100" s="6" t="n"/>
      <c r="AR100" s="66" t="n"/>
      <c r="AS100" s="5" t="n"/>
      <c r="AT100" s="6" t="n"/>
      <c r="AU100" s="67" t="n"/>
      <c r="AV100" s="6" t="n"/>
      <c r="AW100" s="67" t="n"/>
      <c r="AX100" s="6" t="n"/>
      <c r="AY100" s="67" t="n"/>
      <c r="AZ100" s="6" t="n"/>
      <c r="BA100" s="67" t="n"/>
      <c r="BB100" s="5" t="n"/>
      <c r="BC100" s="6" t="n"/>
      <c r="BD100" s="67" t="n"/>
      <c r="BE100" s="6" t="n"/>
      <c r="BF100" s="66" t="n"/>
      <c r="BG100" s="5" t="n"/>
      <c r="BH100" s="6" t="n"/>
      <c r="BI100" s="68" t="n"/>
      <c r="BJ100" s="5" t="n"/>
      <c r="BK100" s="42" t="n"/>
    </row>
    <row r="101" ht="20" customHeight="1">
      <c r="A101" s="61" t="n"/>
      <c r="B101" s="6" t="n"/>
      <c r="C101" s="62" t="n"/>
      <c r="D101" s="5" t="n"/>
      <c r="E101" s="5" t="n"/>
      <c r="F101" s="6" t="n"/>
      <c r="G101" s="62" t="n"/>
      <c r="H101" s="5" t="n"/>
      <c r="I101" s="6" t="n"/>
      <c r="J101" s="62" t="n"/>
      <c r="K101" s="5" t="n"/>
      <c r="L101" s="6" t="n"/>
      <c r="M101" s="62" t="n"/>
      <c r="N101" s="5" t="n"/>
      <c r="O101" s="5" t="n"/>
      <c r="P101" s="5" t="n"/>
      <c r="Q101" s="6" t="n"/>
      <c r="R101" s="62" t="n"/>
      <c r="S101" s="5" t="n"/>
      <c r="T101" s="5" t="n"/>
      <c r="U101" s="5" t="n"/>
      <c r="V101" s="5" t="n"/>
      <c r="W101" s="5" t="n"/>
      <c r="X101" s="6" t="n"/>
      <c r="Y101" s="62" t="n"/>
      <c r="Z101" s="5" t="n"/>
      <c r="AA101" s="5" t="n"/>
      <c r="AB101" s="5" t="n"/>
      <c r="AC101" s="5" t="n"/>
      <c r="AD101" s="6" t="n"/>
      <c r="AE101" s="63" t="n"/>
      <c r="AF101" s="6" t="n"/>
      <c r="AG101" s="63" t="n"/>
      <c r="AH101" s="6" t="n"/>
      <c r="AI101" s="63" t="n"/>
      <c r="AJ101" s="6" t="n"/>
      <c r="AK101" s="63" t="n"/>
      <c r="AL101" s="6" t="n"/>
      <c r="AM101" s="63" t="n"/>
      <c r="AN101" s="5" t="n"/>
      <c r="AO101" s="6" t="n"/>
      <c r="AP101" s="63" t="n"/>
      <c r="AQ101" s="6" t="n"/>
      <c r="AR101" s="62" t="n"/>
      <c r="AS101" s="5" t="n"/>
      <c r="AT101" s="6" t="n"/>
      <c r="AU101" s="63" t="n"/>
      <c r="AV101" s="6" t="n"/>
      <c r="AW101" s="63" t="n"/>
      <c r="AX101" s="6" t="n"/>
      <c r="AY101" s="63" t="n"/>
      <c r="AZ101" s="6" t="n"/>
      <c r="BA101" s="63" t="n"/>
      <c r="BB101" s="5" t="n"/>
      <c r="BC101" s="6" t="n"/>
      <c r="BD101" s="63" t="n"/>
      <c r="BE101" s="6" t="n"/>
      <c r="BF101" s="62" t="n"/>
      <c r="BG101" s="5" t="n"/>
      <c r="BH101" s="6" t="n"/>
      <c r="BI101" s="64" t="n"/>
      <c r="BJ101" s="5" t="n"/>
      <c r="BK101" s="42" t="n"/>
    </row>
    <row r="102" ht="20" customHeight="1">
      <c r="A102" s="65" t="n"/>
      <c r="B102" s="6" t="n"/>
      <c r="C102" s="66" t="n"/>
      <c r="D102" s="5" t="n"/>
      <c r="E102" s="5" t="n"/>
      <c r="F102" s="6" t="n"/>
      <c r="G102" s="66" t="n"/>
      <c r="H102" s="5" t="n"/>
      <c r="I102" s="6" t="n"/>
      <c r="J102" s="66" t="n"/>
      <c r="K102" s="5" t="n"/>
      <c r="L102" s="6" t="n"/>
      <c r="M102" s="66" t="n"/>
      <c r="N102" s="5" t="n"/>
      <c r="O102" s="5" t="n"/>
      <c r="P102" s="5" t="n"/>
      <c r="Q102" s="6" t="n"/>
      <c r="R102" s="66" t="n"/>
      <c r="S102" s="5" t="n"/>
      <c r="T102" s="5" t="n"/>
      <c r="U102" s="5" t="n"/>
      <c r="V102" s="5" t="n"/>
      <c r="W102" s="5" t="n"/>
      <c r="X102" s="6" t="n"/>
      <c r="Y102" s="66" t="n"/>
      <c r="Z102" s="5" t="n"/>
      <c r="AA102" s="5" t="n"/>
      <c r="AB102" s="5" t="n"/>
      <c r="AC102" s="5" t="n"/>
      <c r="AD102" s="6" t="n"/>
      <c r="AE102" s="67" t="n"/>
      <c r="AF102" s="6" t="n"/>
      <c r="AG102" s="67" t="n"/>
      <c r="AH102" s="6" t="n"/>
      <c r="AI102" s="67" t="n"/>
      <c r="AJ102" s="6" t="n"/>
      <c r="AK102" s="67" t="n"/>
      <c r="AL102" s="6" t="n"/>
      <c r="AM102" s="67" t="n"/>
      <c r="AN102" s="5" t="n"/>
      <c r="AO102" s="6" t="n"/>
      <c r="AP102" s="67" t="n"/>
      <c r="AQ102" s="6" t="n"/>
      <c r="AR102" s="66" t="n"/>
      <c r="AS102" s="5" t="n"/>
      <c r="AT102" s="6" t="n"/>
      <c r="AU102" s="67" t="n"/>
      <c r="AV102" s="6" t="n"/>
      <c r="AW102" s="67" t="n"/>
      <c r="AX102" s="6" t="n"/>
      <c r="AY102" s="67" t="n"/>
      <c r="AZ102" s="6" t="n"/>
      <c r="BA102" s="67" t="n"/>
      <c r="BB102" s="5" t="n"/>
      <c r="BC102" s="6" t="n"/>
      <c r="BD102" s="67" t="n"/>
      <c r="BE102" s="6" t="n"/>
      <c r="BF102" s="66" t="n"/>
      <c r="BG102" s="5" t="n"/>
      <c r="BH102" s="6" t="n"/>
      <c r="BI102" s="68" t="n"/>
      <c r="BJ102" s="5" t="n"/>
      <c r="BK102" s="42" t="n"/>
    </row>
    <row r="103" ht="20" customHeight="1">
      <c r="A103" s="61" t="n"/>
      <c r="B103" s="6" t="n"/>
      <c r="C103" s="62" t="n"/>
      <c r="D103" s="5" t="n"/>
      <c r="E103" s="5" t="n"/>
      <c r="F103" s="6" t="n"/>
      <c r="G103" s="62" t="n"/>
      <c r="H103" s="5" t="n"/>
      <c r="I103" s="6" t="n"/>
      <c r="J103" s="62" t="n"/>
      <c r="K103" s="5" t="n"/>
      <c r="L103" s="6" t="n"/>
      <c r="M103" s="62" t="n"/>
      <c r="N103" s="5" t="n"/>
      <c r="O103" s="5" t="n"/>
      <c r="P103" s="5" t="n"/>
      <c r="Q103" s="6" t="n"/>
      <c r="R103" s="62" t="n"/>
      <c r="S103" s="5" t="n"/>
      <c r="T103" s="5" t="n"/>
      <c r="U103" s="5" t="n"/>
      <c r="V103" s="5" t="n"/>
      <c r="W103" s="5" t="n"/>
      <c r="X103" s="6" t="n"/>
      <c r="Y103" s="62" t="n"/>
      <c r="Z103" s="5" t="n"/>
      <c r="AA103" s="5" t="n"/>
      <c r="AB103" s="5" t="n"/>
      <c r="AC103" s="5" t="n"/>
      <c r="AD103" s="6" t="n"/>
      <c r="AE103" s="63" t="n"/>
      <c r="AF103" s="6" t="n"/>
      <c r="AG103" s="63" t="n"/>
      <c r="AH103" s="6" t="n"/>
      <c r="AI103" s="63" t="n"/>
      <c r="AJ103" s="6" t="n"/>
      <c r="AK103" s="63" t="n"/>
      <c r="AL103" s="6" t="n"/>
      <c r="AM103" s="63" t="n"/>
      <c r="AN103" s="5" t="n"/>
      <c r="AO103" s="6" t="n"/>
      <c r="AP103" s="63" t="n"/>
      <c r="AQ103" s="6" t="n"/>
      <c r="AR103" s="62" t="n"/>
      <c r="AS103" s="5" t="n"/>
      <c r="AT103" s="6" t="n"/>
      <c r="AU103" s="63" t="n"/>
      <c r="AV103" s="6" t="n"/>
      <c r="AW103" s="63" t="n"/>
      <c r="AX103" s="6" t="n"/>
      <c r="AY103" s="63" t="n"/>
      <c r="AZ103" s="6" t="n"/>
      <c r="BA103" s="63" t="n"/>
      <c r="BB103" s="5" t="n"/>
      <c r="BC103" s="6" t="n"/>
      <c r="BD103" s="63" t="n"/>
      <c r="BE103" s="6" t="n"/>
      <c r="BF103" s="62" t="n"/>
      <c r="BG103" s="5" t="n"/>
      <c r="BH103" s="6" t="n"/>
      <c r="BI103" s="64" t="n"/>
      <c r="BJ103" s="5" t="n"/>
      <c r="BK103" s="42" t="n"/>
    </row>
    <row r="104" ht="20" customHeight="1">
      <c r="A104" s="65" t="n"/>
      <c r="B104" s="6" t="n"/>
      <c r="C104" s="66" t="n"/>
      <c r="D104" s="5" t="n"/>
      <c r="E104" s="5" t="n"/>
      <c r="F104" s="6" t="n"/>
      <c r="G104" s="66" t="n"/>
      <c r="H104" s="5" t="n"/>
      <c r="I104" s="6" t="n"/>
      <c r="J104" s="66" t="n"/>
      <c r="K104" s="5" t="n"/>
      <c r="L104" s="6" t="n"/>
      <c r="M104" s="66" t="n"/>
      <c r="N104" s="5" t="n"/>
      <c r="O104" s="5" t="n"/>
      <c r="P104" s="5" t="n"/>
      <c r="Q104" s="6" t="n"/>
      <c r="R104" s="66" t="n"/>
      <c r="S104" s="5" t="n"/>
      <c r="T104" s="5" t="n"/>
      <c r="U104" s="5" t="n"/>
      <c r="V104" s="5" t="n"/>
      <c r="W104" s="5" t="n"/>
      <c r="X104" s="6" t="n"/>
      <c r="Y104" s="66" t="n"/>
      <c r="Z104" s="5" t="n"/>
      <c r="AA104" s="5" t="n"/>
      <c r="AB104" s="5" t="n"/>
      <c r="AC104" s="5" t="n"/>
      <c r="AD104" s="6" t="n"/>
      <c r="AE104" s="67" t="n"/>
      <c r="AF104" s="6" t="n"/>
      <c r="AG104" s="67" t="n"/>
      <c r="AH104" s="6" t="n"/>
      <c r="AI104" s="67" t="n"/>
      <c r="AJ104" s="6" t="n"/>
      <c r="AK104" s="67" t="n"/>
      <c r="AL104" s="6" t="n"/>
      <c r="AM104" s="67" t="n"/>
      <c r="AN104" s="5" t="n"/>
      <c r="AO104" s="6" t="n"/>
      <c r="AP104" s="67" t="n"/>
      <c r="AQ104" s="6" t="n"/>
      <c r="AR104" s="66" t="n"/>
      <c r="AS104" s="5" t="n"/>
      <c r="AT104" s="6" t="n"/>
      <c r="AU104" s="67" t="n"/>
      <c r="AV104" s="6" t="n"/>
      <c r="AW104" s="67" t="n"/>
      <c r="AX104" s="6" t="n"/>
      <c r="AY104" s="67" t="n"/>
      <c r="AZ104" s="6" t="n"/>
      <c r="BA104" s="67" t="n"/>
      <c r="BB104" s="5" t="n"/>
      <c r="BC104" s="6" t="n"/>
      <c r="BD104" s="67" t="n"/>
      <c r="BE104" s="6" t="n"/>
      <c r="BF104" s="66" t="n"/>
      <c r="BG104" s="5" t="n"/>
      <c r="BH104" s="6" t="n"/>
      <c r="BI104" s="68" t="n"/>
      <c r="BJ104" s="5" t="n"/>
      <c r="BK104" s="42" t="n"/>
    </row>
    <row r="105" ht="20" customHeight="1">
      <c r="A105" s="61" t="n"/>
      <c r="B105" s="6" t="n"/>
      <c r="C105" s="62" t="n"/>
      <c r="D105" s="5" t="n"/>
      <c r="E105" s="5" t="n"/>
      <c r="F105" s="6" t="n"/>
      <c r="G105" s="62" t="n"/>
      <c r="H105" s="5" t="n"/>
      <c r="I105" s="6" t="n"/>
      <c r="J105" s="62" t="n"/>
      <c r="K105" s="5" t="n"/>
      <c r="L105" s="6" t="n"/>
      <c r="M105" s="62" t="n"/>
      <c r="N105" s="5" t="n"/>
      <c r="O105" s="5" t="n"/>
      <c r="P105" s="5" t="n"/>
      <c r="Q105" s="6" t="n"/>
      <c r="R105" s="62" t="n"/>
      <c r="S105" s="5" t="n"/>
      <c r="T105" s="5" t="n"/>
      <c r="U105" s="5" t="n"/>
      <c r="V105" s="5" t="n"/>
      <c r="W105" s="5" t="n"/>
      <c r="X105" s="6" t="n"/>
      <c r="Y105" s="62" t="n"/>
      <c r="Z105" s="5" t="n"/>
      <c r="AA105" s="5" t="n"/>
      <c r="AB105" s="5" t="n"/>
      <c r="AC105" s="5" t="n"/>
      <c r="AD105" s="6" t="n"/>
      <c r="AE105" s="63" t="n"/>
      <c r="AF105" s="6" t="n"/>
      <c r="AG105" s="63" t="n"/>
      <c r="AH105" s="6" t="n"/>
      <c r="AI105" s="63" t="n"/>
      <c r="AJ105" s="6" t="n"/>
      <c r="AK105" s="63" t="n"/>
      <c r="AL105" s="6" t="n"/>
      <c r="AM105" s="63" t="n"/>
      <c r="AN105" s="5" t="n"/>
      <c r="AO105" s="6" t="n"/>
      <c r="AP105" s="63" t="n"/>
      <c r="AQ105" s="6" t="n"/>
      <c r="AR105" s="62" t="n"/>
      <c r="AS105" s="5" t="n"/>
      <c r="AT105" s="6" t="n"/>
      <c r="AU105" s="63" t="n"/>
      <c r="AV105" s="6" t="n"/>
      <c r="AW105" s="63" t="n"/>
      <c r="AX105" s="6" t="n"/>
      <c r="AY105" s="63" t="n"/>
      <c r="AZ105" s="6" t="n"/>
      <c r="BA105" s="63" t="n"/>
      <c r="BB105" s="5" t="n"/>
      <c r="BC105" s="6" t="n"/>
      <c r="BD105" s="63" t="n"/>
      <c r="BE105" s="6" t="n"/>
      <c r="BF105" s="62" t="n"/>
      <c r="BG105" s="5" t="n"/>
      <c r="BH105" s="6" t="n"/>
      <c r="BI105" s="64" t="n"/>
      <c r="BJ105" s="5" t="n"/>
      <c r="BK105" s="42" t="n"/>
    </row>
    <row r="106" ht="20" customHeight="1">
      <c r="A106" s="65" t="n"/>
      <c r="B106" s="6" t="n"/>
      <c r="C106" s="66" t="n"/>
      <c r="D106" s="5" t="n"/>
      <c r="E106" s="5" t="n"/>
      <c r="F106" s="6" t="n"/>
      <c r="G106" s="66" t="n"/>
      <c r="H106" s="5" t="n"/>
      <c r="I106" s="6" t="n"/>
      <c r="J106" s="66" t="n"/>
      <c r="K106" s="5" t="n"/>
      <c r="L106" s="6" t="n"/>
      <c r="M106" s="66" t="n"/>
      <c r="N106" s="5" t="n"/>
      <c r="O106" s="5" t="n"/>
      <c r="P106" s="5" t="n"/>
      <c r="Q106" s="6" t="n"/>
      <c r="R106" s="66" t="n"/>
      <c r="S106" s="5" t="n"/>
      <c r="T106" s="5" t="n"/>
      <c r="U106" s="5" t="n"/>
      <c r="V106" s="5" t="n"/>
      <c r="W106" s="5" t="n"/>
      <c r="X106" s="6" t="n"/>
      <c r="Y106" s="66" t="n"/>
      <c r="Z106" s="5" t="n"/>
      <c r="AA106" s="5" t="n"/>
      <c r="AB106" s="5" t="n"/>
      <c r="AC106" s="5" t="n"/>
      <c r="AD106" s="6" t="n"/>
      <c r="AE106" s="67" t="n"/>
      <c r="AF106" s="6" t="n"/>
      <c r="AG106" s="67" t="n"/>
      <c r="AH106" s="6" t="n"/>
      <c r="AI106" s="67" t="n"/>
      <c r="AJ106" s="6" t="n"/>
      <c r="AK106" s="67" t="n"/>
      <c r="AL106" s="6" t="n"/>
      <c r="AM106" s="67" t="n"/>
      <c r="AN106" s="5" t="n"/>
      <c r="AO106" s="6" t="n"/>
      <c r="AP106" s="67" t="n"/>
      <c r="AQ106" s="6" t="n"/>
      <c r="AR106" s="66" t="n"/>
      <c r="AS106" s="5" t="n"/>
      <c r="AT106" s="6" t="n"/>
      <c r="AU106" s="67" t="n"/>
      <c r="AV106" s="6" t="n"/>
      <c r="AW106" s="67" t="n"/>
      <c r="AX106" s="6" t="n"/>
      <c r="AY106" s="67" t="n"/>
      <c r="AZ106" s="6" t="n"/>
      <c r="BA106" s="67" t="n"/>
      <c r="BB106" s="5" t="n"/>
      <c r="BC106" s="6" t="n"/>
      <c r="BD106" s="67" t="n"/>
      <c r="BE106" s="6" t="n"/>
      <c r="BF106" s="66" t="n"/>
      <c r="BG106" s="5" t="n"/>
      <c r="BH106" s="6" t="n"/>
      <c r="BI106" s="68" t="n"/>
      <c r="BJ106" s="5" t="n"/>
      <c r="BK106" s="42" t="n"/>
    </row>
    <row r="107" ht="20" customHeight="1">
      <c r="A107" s="61" t="n"/>
      <c r="B107" s="6" t="n"/>
      <c r="C107" s="62" t="n"/>
      <c r="D107" s="5" t="n"/>
      <c r="E107" s="5" t="n"/>
      <c r="F107" s="6" t="n"/>
      <c r="G107" s="62" t="n"/>
      <c r="H107" s="5" t="n"/>
      <c r="I107" s="6" t="n"/>
      <c r="J107" s="62" t="n"/>
      <c r="K107" s="5" t="n"/>
      <c r="L107" s="6" t="n"/>
      <c r="M107" s="62" t="n"/>
      <c r="N107" s="5" t="n"/>
      <c r="O107" s="5" t="n"/>
      <c r="P107" s="5" t="n"/>
      <c r="Q107" s="6" t="n"/>
      <c r="R107" s="62" t="n"/>
      <c r="S107" s="5" t="n"/>
      <c r="T107" s="5" t="n"/>
      <c r="U107" s="5" t="n"/>
      <c r="V107" s="5" t="n"/>
      <c r="W107" s="5" t="n"/>
      <c r="X107" s="6" t="n"/>
      <c r="Y107" s="62" t="n"/>
      <c r="Z107" s="5" t="n"/>
      <c r="AA107" s="5" t="n"/>
      <c r="AB107" s="5" t="n"/>
      <c r="AC107" s="5" t="n"/>
      <c r="AD107" s="6" t="n"/>
      <c r="AE107" s="63" t="n"/>
      <c r="AF107" s="6" t="n"/>
      <c r="AG107" s="63" t="n"/>
      <c r="AH107" s="6" t="n"/>
      <c r="AI107" s="63" t="n"/>
      <c r="AJ107" s="6" t="n"/>
      <c r="AK107" s="63" t="n"/>
      <c r="AL107" s="6" t="n"/>
      <c r="AM107" s="63" t="n"/>
      <c r="AN107" s="5" t="n"/>
      <c r="AO107" s="6" t="n"/>
      <c r="AP107" s="63" t="n"/>
      <c r="AQ107" s="6" t="n"/>
      <c r="AR107" s="62" t="n"/>
      <c r="AS107" s="5" t="n"/>
      <c r="AT107" s="6" t="n"/>
      <c r="AU107" s="63" t="n"/>
      <c r="AV107" s="6" t="n"/>
      <c r="AW107" s="63" t="n"/>
      <c r="AX107" s="6" t="n"/>
      <c r="AY107" s="63" t="n"/>
      <c r="AZ107" s="6" t="n"/>
      <c r="BA107" s="63" t="n"/>
      <c r="BB107" s="5" t="n"/>
      <c r="BC107" s="6" t="n"/>
      <c r="BD107" s="63" t="n"/>
      <c r="BE107" s="6" t="n"/>
      <c r="BF107" s="62" t="n"/>
      <c r="BG107" s="5" t="n"/>
      <c r="BH107" s="6" t="n"/>
      <c r="BI107" s="64" t="n"/>
      <c r="BJ107" s="5" t="n"/>
      <c r="BK107" s="42" t="n"/>
    </row>
    <row r="108" ht="20" customHeight="1">
      <c r="A108" s="65" t="n"/>
      <c r="B108" s="6" t="n"/>
      <c r="C108" s="66" t="n"/>
      <c r="D108" s="5" t="n"/>
      <c r="E108" s="5" t="n"/>
      <c r="F108" s="6" t="n"/>
      <c r="G108" s="66" t="n"/>
      <c r="H108" s="5" t="n"/>
      <c r="I108" s="6" t="n"/>
      <c r="J108" s="66" t="n"/>
      <c r="K108" s="5" t="n"/>
      <c r="L108" s="6" t="n"/>
      <c r="M108" s="66" t="n"/>
      <c r="N108" s="5" t="n"/>
      <c r="O108" s="5" t="n"/>
      <c r="P108" s="5" t="n"/>
      <c r="Q108" s="6" t="n"/>
      <c r="R108" s="66" t="n"/>
      <c r="S108" s="5" t="n"/>
      <c r="T108" s="5" t="n"/>
      <c r="U108" s="5" t="n"/>
      <c r="V108" s="5" t="n"/>
      <c r="W108" s="5" t="n"/>
      <c r="X108" s="6" t="n"/>
      <c r="Y108" s="66" t="n"/>
      <c r="Z108" s="5" t="n"/>
      <c r="AA108" s="5" t="n"/>
      <c r="AB108" s="5" t="n"/>
      <c r="AC108" s="5" t="n"/>
      <c r="AD108" s="6" t="n"/>
      <c r="AE108" s="67" t="n"/>
      <c r="AF108" s="6" t="n"/>
      <c r="AG108" s="67" t="n"/>
      <c r="AH108" s="6" t="n"/>
      <c r="AI108" s="67" t="n"/>
      <c r="AJ108" s="6" t="n"/>
      <c r="AK108" s="67" t="n"/>
      <c r="AL108" s="6" t="n"/>
      <c r="AM108" s="67" t="n"/>
      <c r="AN108" s="5" t="n"/>
      <c r="AO108" s="6" t="n"/>
      <c r="AP108" s="67" t="n"/>
      <c r="AQ108" s="6" t="n"/>
      <c r="AR108" s="66" t="n"/>
      <c r="AS108" s="5" t="n"/>
      <c r="AT108" s="6" t="n"/>
      <c r="AU108" s="67" t="n"/>
      <c r="AV108" s="6" t="n"/>
      <c r="AW108" s="67" t="n"/>
      <c r="AX108" s="6" t="n"/>
      <c r="AY108" s="67" t="n"/>
      <c r="AZ108" s="6" t="n"/>
      <c r="BA108" s="67" t="n"/>
      <c r="BB108" s="5" t="n"/>
      <c r="BC108" s="6" t="n"/>
      <c r="BD108" s="67" t="n"/>
      <c r="BE108" s="6" t="n"/>
      <c r="BF108" s="66" t="n"/>
      <c r="BG108" s="5" t="n"/>
      <c r="BH108" s="6" t="n"/>
      <c r="BI108" s="68" t="n"/>
      <c r="BJ108" s="5" t="n"/>
      <c r="BK108" s="42" t="n"/>
    </row>
    <row r="109" ht="20" customHeight="1">
      <c r="A109" s="61" t="n"/>
      <c r="B109" s="6" t="n"/>
      <c r="C109" s="62" t="n"/>
      <c r="D109" s="5" t="n"/>
      <c r="E109" s="5" t="n"/>
      <c r="F109" s="6" t="n"/>
      <c r="G109" s="62" t="n"/>
      <c r="H109" s="5" t="n"/>
      <c r="I109" s="6" t="n"/>
      <c r="J109" s="62" t="n"/>
      <c r="K109" s="5" t="n"/>
      <c r="L109" s="6" t="n"/>
      <c r="M109" s="62" t="n"/>
      <c r="N109" s="5" t="n"/>
      <c r="O109" s="5" t="n"/>
      <c r="P109" s="5" t="n"/>
      <c r="Q109" s="6" t="n"/>
      <c r="R109" s="62" t="n"/>
      <c r="S109" s="5" t="n"/>
      <c r="T109" s="5" t="n"/>
      <c r="U109" s="5" t="n"/>
      <c r="V109" s="5" t="n"/>
      <c r="W109" s="5" t="n"/>
      <c r="X109" s="6" t="n"/>
      <c r="Y109" s="62" t="n"/>
      <c r="Z109" s="5" t="n"/>
      <c r="AA109" s="5" t="n"/>
      <c r="AB109" s="5" t="n"/>
      <c r="AC109" s="5" t="n"/>
      <c r="AD109" s="6" t="n"/>
      <c r="AE109" s="63" t="n"/>
      <c r="AF109" s="6" t="n"/>
      <c r="AG109" s="63" t="n"/>
      <c r="AH109" s="6" t="n"/>
      <c r="AI109" s="63" t="n"/>
      <c r="AJ109" s="6" t="n"/>
      <c r="AK109" s="63" t="n"/>
      <c r="AL109" s="6" t="n"/>
      <c r="AM109" s="63" t="n"/>
      <c r="AN109" s="5" t="n"/>
      <c r="AO109" s="6" t="n"/>
      <c r="AP109" s="63" t="n"/>
      <c r="AQ109" s="6" t="n"/>
      <c r="AR109" s="62" t="n"/>
      <c r="AS109" s="5" t="n"/>
      <c r="AT109" s="6" t="n"/>
      <c r="AU109" s="63" t="n"/>
      <c r="AV109" s="6" t="n"/>
      <c r="AW109" s="63" t="n"/>
      <c r="AX109" s="6" t="n"/>
      <c r="AY109" s="63" t="n"/>
      <c r="AZ109" s="6" t="n"/>
      <c r="BA109" s="63" t="n"/>
      <c r="BB109" s="5" t="n"/>
      <c r="BC109" s="6" t="n"/>
      <c r="BD109" s="63" t="n"/>
      <c r="BE109" s="6" t="n"/>
      <c r="BF109" s="62" t="n"/>
      <c r="BG109" s="5" t="n"/>
      <c r="BH109" s="6" t="n"/>
      <c r="BI109" s="64" t="n"/>
      <c r="BJ109" s="5" t="n"/>
      <c r="BK109" s="42" t="n"/>
    </row>
    <row r="110" ht="20" customHeight="1">
      <c r="A110" s="65" t="n"/>
      <c r="B110" s="6" t="n"/>
      <c r="C110" s="66" t="n"/>
      <c r="D110" s="5" t="n"/>
      <c r="E110" s="5" t="n"/>
      <c r="F110" s="6" t="n"/>
      <c r="G110" s="66" t="n"/>
      <c r="H110" s="5" t="n"/>
      <c r="I110" s="6" t="n"/>
      <c r="J110" s="66" t="n"/>
      <c r="K110" s="5" t="n"/>
      <c r="L110" s="6" t="n"/>
      <c r="M110" s="66" t="n"/>
      <c r="N110" s="5" t="n"/>
      <c r="O110" s="5" t="n"/>
      <c r="P110" s="5" t="n"/>
      <c r="Q110" s="6" t="n"/>
      <c r="R110" s="66" t="n"/>
      <c r="S110" s="5" t="n"/>
      <c r="T110" s="5" t="n"/>
      <c r="U110" s="5" t="n"/>
      <c r="V110" s="5" t="n"/>
      <c r="W110" s="5" t="n"/>
      <c r="X110" s="6" t="n"/>
      <c r="Y110" s="66" t="n"/>
      <c r="Z110" s="5" t="n"/>
      <c r="AA110" s="5" t="n"/>
      <c r="AB110" s="5" t="n"/>
      <c r="AC110" s="5" t="n"/>
      <c r="AD110" s="6" t="n"/>
      <c r="AE110" s="67" t="n"/>
      <c r="AF110" s="6" t="n"/>
      <c r="AG110" s="67" t="n"/>
      <c r="AH110" s="6" t="n"/>
      <c r="AI110" s="67" t="n"/>
      <c r="AJ110" s="6" t="n"/>
      <c r="AK110" s="67" t="n"/>
      <c r="AL110" s="6" t="n"/>
      <c r="AM110" s="67" t="n"/>
      <c r="AN110" s="5" t="n"/>
      <c r="AO110" s="6" t="n"/>
      <c r="AP110" s="67" t="n"/>
      <c r="AQ110" s="6" t="n"/>
      <c r="AR110" s="66" t="n"/>
      <c r="AS110" s="5" t="n"/>
      <c r="AT110" s="6" t="n"/>
      <c r="AU110" s="67" t="n"/>
      <c r="AV110" s="6" t="n"/>
      <c r="AW110" s="67" t="n"/>
      <c r="AX110" s="6" t="n"/>
      <c r="AY110" s="67" t="n"/>
      <c r="AZ110" s="6" t="n"/>
      <c r="BA110" s="67" t="n"/>
      <c r="BB110" s="5" t="n"/>
      <c r="BC110" s="6" t="n"/>
      <c r="BD110" s="67" t="n"/>
      <c r="BE110" s="6" t="n"/>
      <c r="BF110" s="66" t="n"/>
      <c r="BG110" s="5" t="n"/>
      <c r="BH110" s="6" t="n"/>
      <c r="BI110" s="68" t="n"/>
      <c r="BJ110" s="5" t="n"/>
      <c r="BK110" s="42" t="n"/>
    </row>
    <row r="111" ht="20" customHeight="1">
      <c r="A111" s="61" t="n"/>
      <c r="B111" s="6" t="n"/>
      <c r="C111" s="62" t="n"/>
      <c r="D111" s="5" t="n"/>
      <c r="E111" s="5" t="n"/>
      <c r="F111" s="6" t="n"/>
      <c r="G111" s="62" t="n"/>
      <c r="H111" s="5" t="n"/>
      <c r="I111" s="6" t="n"/>
      <c r="J111" s="62" t="n"/>
      <c r="K111" s="5" t="n"/>
      <c r="L111" s="6" t="n"/>
      <c r="M111" s="62" t="n"/>
      <c r="N111" s="5" t="n"/>
      <c r="O111" s="5" t="n"/>
      <c r="P111" s="5" t="n"/>
      <c r="Q111" s="6" t="n"/>
      <c r="R111" s="62" t="n"/>
      <c r="S111" s="5" t="n"/>
      <c r="T111" s="5" t="n"/>
      <c r="U111" s="5" t="n"/>
      <c r="V111" s="5" t="n"/>
      <c r="W111" s="5" t="n"/>
      <c r="X111" s="6" t="n"/>
      <c r="Y111" s="62" t="n"/>
      <c r="Z111" s="5" t="n"/>
      <c r="AA111" s="5" t="n"/>
      <c r="AB111" s="5" t="n"/>
      <c r="AC111" s="5" t="n"/>
      <c r="AD111" s="6" t="n"/>
      <c r="AE111" s="63" t="n"/>
      <c r="AF111" s="6" t="n"/>
      <c r="AG111" s="63" t="n"/>
      <c r="AH111" s="6" t="n"/>
      <c r="AI111" s="63" t="n"/>
      <c r="AJ111" s="6" t="n"/>
      <c r="AK111" s="63" t="n"/>
      <c r="AL111" s="6" t="n"/>
      <c r="AM111" s="63" t="n"/>
      <c r="AN111" s="5" t="n"/>
      <c r="AO111" s="6" t="n"/>
      <c r="AP111" s="63" t="n"/>
      <c r="AQ111" s="6" t="n"/>
      <c r="AR111" s="62" t="n"/>
      <c r="AS111" s="5" t="n"/>
      <c r="AT111" s="6" t="n"/>
      <c r="AU111" s="63" t="n"/>
      <c r="AV111" s="6" t="n"/>
      <c r="AW111" s="63" t="n"/>
      <c r="AX111" s="6" t="n"/>
      <c r="AY111" s="63" t="n"/>
      <c r="AZ111" s="6" t="n"/>
      <c r="BA111" s="63" t="n"/>
      <c r="BB111" s="5" t="n"/>
      <c r="BC111" s="6" t="n"/>
      <c r="BD111" s="63" t="n"/>
      <c r="BE111" s="6" t="n"/>
      <c r="BF111" s="62" t="n"/>
      <c r="BG111" s="5" t="n"/>
      <c r="BH111" s="6" t="n"/>
      <c r="BI111" s="64" t="n"/>
      <c r="BJ111" s="5" t="n"/>
      <c r="BK111" s="42" t="n"/>
    </row>
    <row r="112" ht="20" customHeight="1">
      <c r="A112" s="65" t="n"/>
      <c r="B112" s="6" t="n"/>
      <c r="C112" s="66" t="n"/>
      <c r="D112" s="5" t="n"/>
      <c r="E112" s="5" t="n"/>
      <c r="F112" s="6" t="n"/>
      <c r="G112" s="66" t="n"/>
      <c r="H112" s="5" t="n"/>
      <c r="I112" s="6" t="n"/>
      <c r="J112" s="66" t="n"/>
      <c r="K112" s="5" t="n"/>
      <c r="L112" s="6" t="n"/>
      <c r="M112" s="66" t="n"/>
      <c r="N112" s="5" t="n"/>
      <c r="O112" s="5" t="n"/>
      <c r="P112" s="5" t="n"/>
      <c r="Q112" s="6" t="n"/>
      <c r="R112" s="66" t="n"/>
      <c r="S112" s="5" t="n"/>
      <c r="T112" s="5" t="n"/>
      <c r="U112" s="5" t="n"/>
      <c r="V112" s="5" t="n"/>
      <c r="W112" s="5" t="n"/>
      <c r="X112" s="6" t="n"/>
      <c r="Y112" s="66" t="n"/>
      <c r="Z112" s="5" t="n"/>
      <c r="AA112" s="5" t="n"/>
      <c r="AB112" s="5" t="n"/>
      <c r="AC112" s="5" t="n"/>
      <c r="AD112" s="6" t="n"/>
      <c r="AE112" s="67" t="n"/>
      <c r="AF112" s="6" t="n"/>
      <c r="AG112" s="67" t="n"/>
      <c r="AH112" s="6" t="n"/>
      <c r="AI112" s="67" t="n"/>
      <c r="AJ112" s="6" t="n"/>
      <c r="AK112" s="67" t="n"/>
      <c r="AL112" s="6" t="n"/>
      <c r="AM112" s="67" t="n"/>
      <c r="AN112" s="5" t="n"/>
      <c r="AO112" s="6" t="n"/>
      <c r="AP112" s="67" t="n"/>
      <c r="AQ112" s="6" t="n"/>
      <c r="AR112" s="66" t="n"/>
      <c r="AS112" s="5" t="n"/>
      <c r="AT112" s="6" t="n"/>
      <c r="AU112" s="67" t="n"/>
      <c r="AV112" s="6" t="n"/>
      <c r="AW112" s="67" t="n"/>
      <c r="AX112" s="6" t="n"/>
      <c r="AY112" s="67" t="n"/>
      <c r="AZ112" s="6" t="n"/>
      <c r="BA112" s="67" t="n"/>
      <c r="BB112" s="5" t="n"/>
      <c r="BC112" s="6" t="n"/>
      <c r="BD112" s="67" t="n"/>
      <c r="BE112" s="6" t="n"/>
      <c r="BF112" s="66" t="n"/>
      <c r="BG112" s="5" t="n"/>
      <c r="BH112" s="6" t="n"/>
      <c r="BI112" s="68" t="n"/>
      <c r="BJ112" s="5" t="n"/>
      <c r="BK112" s="42" t="n"/>
    </row>
    <row r="113" ht="20" customHeight="1">
      <c r="A113" s="61" t="n"/>
      <c r="B113" s="6" t="n"/>
      <c r="C113" s="62" t="n"/>
      <c r="D113" s="5" t="n"/>
      <c r="E113" s="5" t="n"/>
      <c r="F113" s="6" t="n"/>
      <c r="G113" s="62" t="n"/>
      <c r="H113" s="5" t="n"/>
      <c r="I113" s="6" t="n"/>
      <c r="J113" s="62" t="n"/>
      <c r="K113" s="5" t="n"/>
      <c r="L113" s="6" t="n"/>
      <c r="M113" s="62" t="n"/>
      <c r="N113" s="5" t="n"/>
      <c r="O113" s="5" t="n"/>
      <c r="P113" s="5" t="n"/>
      <c r="Q113" s="6" t="n"/>
      <c r="R113" s="62" t="n"/>
      <c r="S113" s="5" t="n"/>
      <c r="T113" s="5" t="n"/>
      <c r="U113" s="5" t="n"/>
      <c r="V113" s="5" t="n"/>
      <c r="W113" s="5" t="n"/>
      <c r="X113" s="6" t="n"/>
      <c r="Y113" s="62" t="n"/>
      <c r="Z113" s="5" t="n"/>
      <c r="AA113" s="5" t="n"/>
      <c r="AB113" s="5" t="n"/>
      <c r="AC113" s="5" t="n"/>
      <c r="AD113" s="6" t="n"/>
      <c r="AE113" s="63" t="n"/>
      <c r="AF113" s="6" t="n"/>
      <c r="AG113" s="63" t="n"/>
      <c r="AH113" s="6" t="n"/>
      <c r="AI113" s="63" t="n"/>
      <c r="AJ113" s="6" t="n"/>
      <c r="AK113" s="63" t="n"/>
      <c r="AL113" s="6" t="n"/>
      <c r="AM113" s="63" t="n"/>
      <c r="AN113" s="5" t="n"/>
      <c r="AO113" s="6" t="n"/>
      <c r="AP113" s="63" t="n"/>
      <c r="AQ113" s="6" t="n"/>
      <c r="AR113" s="62" t="n"/>
      <c r="AS113" s="5" t="n"/>
      <c r="AT113" s="6" t="n"/>
      <c r="AU113" s="63" t="n"/>
      <c r="AV113" s="6" t="n"/>
      <c r="AW113" s="63" t="n"/>
      <c r="AX113" s="6" t="n"/>
      <c r="AY113" s="63" t="n"/>
      <c r="AZ113" s="6" t="n"/>
      <c r="BA113" s="63" t="n"/>
      <c r="BB113" s="5" t="n"/>
      <c r="BC113" s="6" t="n"/>
      <c r="BD113" s="63" t="n"/>
      <c r="BE113" s="6" t="n"/>
      <c r="BF113" s="62" t="n"/>
      <c r="BG113" s="5" t="n"/>
      <c r="BH113" s="6" t="n"/>
      <c r="BI113" s="64" t="n"/>
      <c r="BJ113" s="5" t="n"/>
      <c r="BK113" s="42" t="n"/>
    </row>
    <row r="114" ht="20" customHeight="1">
      <c r="A114" s="65" t="n"/>
      <c r="B114" s="6" t="n"/>
      <c r="C114" s="66" t="n"/>
      <c r="D114" s="5" t="n"/>
      <c r="E114" s="5" t="n"/>
      <c r="F114" s="6" t="n"/>
      <c r="G114" s="66" t="n"/>
      <c r="H114" s="5" t="n"/>
      <c r="I114" s="6" t="n"/>
      <c r="J114" s="66" t="n"/>
      <c r="K114" s="5" t="n"/>
      <c r="L114" s="6" t="n"/>
      <c r="M114" s="66" t="n"/>
      <c r="N114" s="5" t="n"/>
      <c r="O114" s="5" t="n"/>
      <c r="P114" s="5" t="n"/>
      <c r="Q114" s="6" t="n"/>
      <c r="R114" s="66" t="n"/>
      <c r="S114" s="5" t="n"/>
      <c r="T114" s="5" t="n"/>
      <c r="U114" s="5" t="n"/>
      <c r="V114" s="5" t="n"/>
      <c r="W114" s="5" t="n"/>
      <c r="X114" s="6" t="n"/>
      <c r="Y114" s="66" t="n"/>
      <c r="Z114" s="5" t="n"/>
      <c r="AA114" s="5" t="n"/>
      <c r="AB114" s="5" t="n"/>
      <c r="AC114" s="5" t="n"/>
      <c r="AD114" s="6" t="n"/>
      <c r="AE114" s="67" t="n"/>
      <c r="AF114" s="6" t="n"/>
      <c r="AG114" s="67" t="n"/>
      <c r="AH114" s="6" t="n"/>
      <c r="AI114" s="67" t="n"/>
      <c r="AJ114" s="6" t="n"/>
      <c r="AK114" s="67" t="n"/>
      <c r="AL114" s="6" t="n"/>
      <c r="AM114" s="67" t="n"/>
      <c r="AN114" s="5" t="n"/>
      <c r="AO114" s="6" t="n"/>
      <c r="AP114" s="67" t="n"/>
      <c r="AQ114" s="6" t="n"/>
      <c r="AR114" s="66" t="n"/>
      <c r="AS114" s="5" t="n"/>
      <c r="AT114" s="6" t="n"/>
      <c r="AU114" s="67" t="n"/>
      <c r="AV114" s="6" t="n"/>
      <c r="AW114" s="67" t="n"/>
      <c r="AX114" s="6" t="n"/>
      <c r="AY114" s="67" t="n"/>
      <c r="AZ114" s="6" t="n"/>
      <c r="BA114" s="67" t="n"/>
      <c r="BB114" s="5" t="n"/>
      <c r="BC114" s="6" t="n"/>
      <c r="BD114" s="67" t="n"/>
      <c r="BE114" s="6" t="n"/>
      <c r="BF114" s="66" t="n"/>
      <c r="BG114" s="5" t="n"/>
      <c r="BH114" s="6" t="n"/>
      <c r="BI114" s="68" t="n"/>
      <c r="BJ114" s="5" t="n"/>
      <c r="BK114" s="42" t="n"/>
    </row>
    <row r="115" ht="20" customHeight="1">
      <c r="A115" s="61" t="n"/>
      <c r="B115" s="6" t="n"/>
      <c r="C115" s="62" t="n"/>
      <c r="D115" s="5" t="n"/>
      <c r="E115" s="5" t="n"/>
      <c r="F115" s="6" t="n"/>
      <c r="G115" s="62" t="n"/>
      <c r="H115" s="5" t="n"/>
      <c r="I115" s="6" t="n"/>
      <c r="J115" s="62" t="n"/>
      <c r="K115" s="5" t="n"/>
      <c r="L115" s="6" t="n"/>
      <c r="M115" s="62" t="n"/>
      <c r="N115" s="5" t="n"/>
      <c r="O115" s="5" t="n"/>
      <c r="P115" s="5" t="n"/>
      <c r="Q115" s="6" t="n"/>
      <c r="R115" s="62" t="n"/>
      <c r="S115" s="5" t="n"/>
      <c r="T115" s="5" t="n"/>
      <c r="U115" s="5" t="n"/>
      <c r="V115" s="5" t="n"/>
      <c r="W115" s="5" t="n"/>
      <c r="X115" s="6" t="n"/>
      <c r="Y115" s="62" t="n"/>
      <c r="Z115" s="5" t="n"/>
      <c r="AA115" s="5" t="n"/>
      <c r="AB115" s="5" t="n"/>
      <c r="AC115" s="5" t="n"/>
      <c r="AD115" s="6" t="n"/>
      <c r="AE115" s="63" t="n"/>
      <c r="AF115" s="6" t="n"/>
      <c r="AG115" s="63" t="n"/>
      <c r="AH115" s="6" t="n"/>
      <c r="AI115" s="63" t="n"/>
      <c r="AJ115" s="6" t="n"/>
      <c r="AK115" s="63" t="n"/>
      <c r="AL115" s="6" t="n"/>
      <c r="AM115" s="63" t="n"/>
      <c r="AN115" s="5" t="n"/>
      <c r="AO115" s="6" t="n"/>
      <c r="AP115" s="63" t="n"/>
      <c r="AQ115" s="6" t="n"/>
      <c r="AR115" s="62" t="n"/>
      <c r="AS115" s="5" t="n"/>
      <c r="AT115" s="6" t="n"/>
      <c r="AU115" s="63" t="n"/>
      <c r="AV115" s="6" t="n"/>
      <c r="AW115" s="63" t="n"/>
      <c r="AX115" s="6" t="n"/>
      <c r="AY115" s="63" t="n"/>
      <c r="AZ115" s="6" t="n"/>
      <c r="BA115" s="63" t="n"/>
      <c r="BB115" s="5" t="n"/>
      <c r="BC115" s="6" t="n"/>
      <c r="BD115" s="63" t="n"/>
      <c r="BE115" s="6" t="n"/>
      <c r="BF115" s="62" t="n"/>
      <c r="BG115" s="5" t="n"/>
      <c r="BH115" s="6" t="n"/>
      <c r="BI115" s="64" t="n"/>
      <c r="BJ115" s="5" t="n"/>
      <c r="BK115" s="42" t="n"/>
    </row>
    <row r="116" ht="20" customHeight="1">
      <c r="A116" s="65" t="n"/>
      <c r="B116" s="6" t="n"/>
      <c r="C116" s="66" t="n"/>
      <c r="D116" s="5" t="n"/>
      <c r="E116" s="5" t="n"/>
      <c r="F116" s="6" t="n"/>
      <c r="G116" s="66" t="n"/>
      <c r="H116" s="5" t="n"/>
      <c r="I116" s="6" t="n"/>
      <c r="J116" s="66" t="n"/>
      <c r="K116" s="5" t="n"/>
      <c r="L116" s="6" t="n"/>
      <c r="M116" s="66" t="n"/>
      <c r="N116" s="5" t="n"/>
      <c r="O116" s="5" t="n"/>
      <c r="P116" s="5" t="n"/>
      <c r="Q116" s="6" t="n"/>
      <c r="R116" s="66" t="n"/>
      <c r="S116" s="5" t="n"/>
      <c r="T116" s="5" t="n"/>
      <c r="U116" s="5" t="n"/>
      <c r="V116" s="5" t="n"/>
      <c r="W116" s="5" t="n"/>
      <c r="X116" s="6" t="n"/>
      <c r="Y116" s="66" t="n"/>
      <c r="Z116" s="5" t="n"/>
      <c r="AA116" s="5" t="n"/>
      <c r="AB116" s="5" t="n"/>
      <c r="AC116" s="5" t="n"/>
      <c r="AD116" s="6" t="n"/>
      <c r="AE116" s="67" t="n"/>
      <c r="AF116" s="6" t="n"/>
      <c r="AG116" s="67" t="n"/>
      <c r="AH116" s="6" t="n"/>
      <c r="AI116" s="67" t="n"/>
      <c r="AJ116" s="6" t="n"/>
      <c r="AK116" s="67" t="n"/>
      <c r="AL116" s="6" t="n"/>
      <c r="AM116" s="67" t="n"/>
      <c r="AN116" s="5" t="n"/>
      <c r="AO116" s="6" t="n"/>
      <c r="AP116" s="67" t="n"/>
      <c r="AQ116" s="6" t="n"/>
      <c r="AR116" s="66" t="n"/>
      <c r="AS116" s="5" t="n"/>
      <c r="AT116" s="6" t="n"/>
      <c r="AU116" s="67" t="n"/>
      <c r="AV116" s="6" t="n"/>
      <c r="AW116" s="67" t="n"/>
      <c r="AX116" s="6" t="n"/>
      <c r="AY116" s="67" t="n"/>
      <c r="AZ116" s="6" t="n"/>
      <c r="BA116" s="67" t="n"/>
      <c r="BB116" s="5" t="n"/>
      <c r="BC116" s="6" t="n"/>
      <c r="BD116" s="67" t="n"/>
      <c r="BE116" s="6" t="n"/>
      <c r="BF116" s="66" t="n"/>
      <c r="BG116" s="5" t="n"/>
      <c r="BH116" s="6" t="n"/>
      <c r="BI116" s="68" t="n"/>
      <c r="BJ116" s="5" t="n"/>
      <c r="BK116" s="42" t="n"/>
    </row>
    <row r="117" ht="20" customHeight="1">
      <c r="A117" s="61" t="n"/>
      <c r="B117" s="6" t="n"/>
      <c r="C117" s="62" t="n"/>
      <c r="D117" s="5" t="n"/>
      <c r="E117" s="5" t="n"/>
      <c r="F117" s="6" t="n"/>
      <c r="G117" s="62" t="n"/>
      <c r="H117" s="5" t="n"/>
      <c r="I117" s="6" t="n"/>
      <c r="J117" s="62" t="n"/>
      <c r="K117" s="5" t="n"/>
      <c r="L117" s="6" t="n"/>
      <c r="M117" s="62" t="n"/>
      <c r="N117" s="5" t="n"/>
      <c r="O117" s="5" t="n"/>
      <c r="P117" s="5" t="n"/>
      <c r="Q117" s="6" t="n"/>
      <c r="R117" s="62" t="n"/>
      <c r="S117" s="5" t="n"/>
      <c r="T117" s="5" t="n"/>
      <c r="U117" s="5" t="n"/>
      <c r="V117" s="5" t="n"/>
      <c r="W117" s="5" t="n"/>
      <c r="X117" s="6" t="n"/>
      <c r="Y117" s="62" t="n"/>
      <c r="Z117" s="5" t="n"/>
      <c r="AA117" s="5" t="n"/>
      <c r="AB117" s="5" t="n"/>
      <c r="AC117" s="5" t="n"/>
      <c r="AD117" s="6" t="n"/>
      <c r="AE117" s="63" t="n"/>
      <c r="AF117" s="6" t="n"/>
      <c r="AG117" s="63" t="n"/>
      <c r="AH117" s="6" t="n"/>
      <c r="AI117" s="63" t="n"/>
      <c r="AJ117" s="6" t="n"/>
      <c r="AK117" s="63" t="n"/>
      <c r="AL117" s="6" t="n"/>
      <c r="AM117" s="63" t="n"/>
      <c r="AN117" s="5" t="n"/>
      <c r="AO117" s="6" t="n"/>
      <c r="AP117" s="63" t="n"/>
      <c r="AQ117" s="6" t="n"/>
      <c r="AR117" s="62" t="n"/>
      <c r="AS117" s="5" t="n"/>
      <c r="AT117" s="6" t="n"/>
      <c r="AU117" s="63" t="n"/>
      <c r="AV117" s="6" t="n"/>
      <c r="AW117" s="63" t="n"/>
      <c r="AX117" s="6" t="n"/>
      <c r="AY117" s="63" t="n"/>
      <c r="AZ117" s="6" t="n"/>
      <c r="BA117" s="63" t="n"/>
      <c r="BB117" s="5" t="n"/>
      <c r="BC117" s="6" t="n"/>
      <c r="BD117" s="63" t="n"/>
      <c r="BE117" s="6" t="n"/>
      <c r="BF117" s="62" t="n"/>
      <c r="BG117" s="5" t="n"/>
      <c r="BH117" s="6" t="n"/>
      <c r="BI117" s="64" t="n"/>
      <c r="BJ117" s="5" t="n"/>
      <c r="BK117" s="42" t="n"/>
    </row>
    <row r="118" ht="20" customHeight="1">
      <c r="A118" s="65" t="n"/>
      <c r="B118" s="6" t="n"/>
      <c r="C118" s="66" t="n"/>
      <c r="D118" s="5" t="n"/>
      <c r="E118" s="5" t="n"/>
      <c r="F118" s="6" t="n"/>
      <c r="G118" s="66" t="n"/>
      <c r="H118" s="5" t="n"/>
      <c r="I118" s="6" t="n"/>
      <c r="J118" s="66" t="n"/>
      <c r="K118" s="5" t="n"/>
      <c r="L118" s="6" t="n"/>
      <c r="M118" s="66" t="n"/>
      <c r="N118" s="5" t="n"/>
      <c r="O118" s="5" t="n"/>
      <c r="P118" s="5" t="n"/>
      <c r="Q118" s="6" t="n"/>
      <c r="R118" s="66" t="n"/>
      <c r="S118" s="5" t="n"/>
      <c r="T118" s="5" t="n"/>
      <c r="U118" s="5" t="n"/>
      <c r="V118" s="5" t="n"/>
      <c r="W118" s="5" t="n"/>
      <c r="X118" s="6" t="n"/>
      <c r="Y118" s="66" t="n"/>
      <c r="Z118" s="5" t="n"/>
      <c r="AA118" s="5" t="n"/>
      <c r="AB118" s="5" t="n"/>
      <c r="AC118" s="5" t="n"/>
      <c r="AD118" s="6" t="n"/>
      <c r="AE118" s="67" t="n"/>
      <c r="AF118" s="6" t="n"/>
      <c r="AG118" s="67" t="n"/>
      <c r="AH118" s="6" t="n"/>
      <c r="AI118" s="67" t="n"/>
      <c r="AJ118" s="6" t="n"/>
      <c r="AK118" s="67" t="n"/>
      <c r="AL118" s="6" t="n"/>
      <c r="AM118" s="67" t="n"/>
      <c r="AN118" s="5" t="n"/>
      <c r="AO118" s="6" t="n"/>
      <c r="AP118" s="67" t="n"/>
      <c r="AQ118" s="6" t="n"/>
      <c r="AR118" s="66" t="n"/>
      <c r="AS118" s="5" t="n"/>
      <c r="AT118" s="6" t="n"/>
      <c r="AU118" s="67" t="n"/>
      <c r="AV118" s="6" t="n"/>
      <c r="AW118" s="67" t="n"/>
      <c r="AX118" s="6" t="n"/>
      <c r="AY118" s="67" t="n"/>
      <c r="AZ118" s="6" t="n"/>
      <c r="BA118" s="67" t="n"/>
      <c r="BB118" s="5" t="n"/>
      <c r="BC118" s="6" t="n"/>
      <c r="BD118" s="67" t="n"/>
      <c r="BE118" s="6" t="n"/>
      <c r="BF118" s="66" t="n"/>
      <c r="BG118" s="5" t="n"/>
      <c r="BH118" s="6" t="n"/>
      <c r="BI118" s="68" t="n"/>
      <c r="BJ118" s="5" t="n"/>
      <c r="BK118" s="42" t="n"/>
    </row>
    <row r="119" ht="20" customHeight="1">
      <c r="A119" s="61" t="n"/>
      <c r="B119" s="6" t="n"/>
      <c r="C119" s="62" t="n"/>
      <c r="D119" s="5" t="n"/>
      <c r="E119" s="5" t="n"/>
      <c r="F119" s="6" t="n"/>
      <c r="G119" s="62" t="n"/>
      <c r="H119" s="5" t="n"/>
      <c r="I119" s="6" t="n"/>
      <c r="J119" s="62" t="n"/>
      <c r="K119" s="5" t="n"/>
      <c r="L119" s="6" t="n"/>
      <c r="M119" s="62" t="n"/>
      <c r="N119" s="5" t="n"/>
      <c r="O119" s="5" t="n"/>
      <c r="P119" s="5" t="n"/>
      <c r="Q119" s="6" t="n"/>
      <c r="R119" s="62" t="n"/>
      <c r="S119" s="5" t="n"/>
      <c r="T119" s="5" t="n"/>
      <c r="U119" s="5" t="n"/>
      <c r="V119" s="5" t="n"/>
      <c r="W119" s="5" t="n"/>
      <c r="X119" s="6" t="n"/>
      <c r="Y119" s="62" t="n"/>
      <c r="Z119" s="5" t="n"/>
      <c r="AA119" s="5" t="n"/>
      <c r="AB119" s="5" t="n"/>
      <c r="AC119" s="5" t="n"/>
      <c r="AD119" s="6" t="n"/>
      <c r="AE119" s="63" t="n"/>
      <c r="AF119" s="6" t="n"/>
      <c r="AG119" s="63" t="n"/>
      <c r="AH119" s="6" t="n"/>
      <c r="AI119" s="63" t="n"/>
      <c r="AJ119" s="6" t="n"/>
      <c r="AK119" s="63" t="n"/>
      <c r="AL119" s="6" t="n"/>
      <c r="AM119" s="63" t="n"/>
      <c r="AN119" s="5" t="n"/>
      <c r="AO119" s="6" t="n"/>
      <c r="AP119" s="63" t="n"/>
      <c r="AQ119" s="6" t="n"/>
      <c r="AR119" s="62" t="n"/>
      <c r="AS119" s="5" t="n"/>
      <c r="AT119" s="6" t="n"/>
      <c r="AU119" s="63" t="n"/>
      <c r="AV119" s="6" t="n"/>
      <c r="AW119" s="63" t="n"/>
      <c r="AX119" s="6" t="n"/>
      <c r="AY119" s="63" t="n"/>
      <c r="AZ119" s="6" t="n"/>
      <c r="BA119" s="63" t="n"/>
      <c r="BB119" s="5" t="n"/>
      <c r="BC119" s="6" t="n"/>
      <c r="BD119" s="63" t="n"/>
      <c r="BE119" s="6" t="n"/>
      <c r="BF119" s="62" t="n"/>
      <c r="BG119" s="5" t="n"/>
      <c r="BH119" s="6" t="n"/>
      <c r="BI119" s="64" t="n"/>
      <c r="BJ119" s="5" t="n"/>
      <c r="BK119" s="42" t="n"/>
    </row>
    <row r="120" ht="20" customHeight="1">
      <c r="A120" s="65" t="n"/>
      <c r="B120" s="6" t="n"/>
      <c r="C120" s="66" t="n"/>
      <c r="D120" s="5" t="n"/>
      <c r="E120" s="5" t="n"/>
      <c r="F120" s="6" t="n"/>
      <c r="G120" s="66" t="n"/>
      <c r="H120" s="5" t="n"/>
      <c r="I120" s="6" t="n"/>
      <c r="J120" s="66" t="n"/>
      <c r="K120" s="5" t="n"/>
      <c r="L120" s="6" t="n"/>
      <c r="M120" s="66" t="n"/>
      <c r="N120" s="5" t="n"/>
      <c r="O120" s="5" t="n"/>
      <c r="P120" s="5" t="n"/>
      <c r="Q120" s="6" t="n"/>
      <c r="R120" s="66" t="n"/>
      <c r="S120" s="5" t="n"/>
      <c r="T120" s="5" t="n"/>
      <c r="U120" s="5" t="n"/>
      <c r="V120" s="5" t="n"/>
      <c r="W120" s="5" t="n"/>
      <c r="X120" s="6" t="n"/>
      <c r="Y120" s="66" t="n"/>
      <c r="Z120" s="5" t="n"/>
      <c r="AA120" s="5" t="n"/>
      <c r="AB120" s="5" t="n"/>
      <c r="AC120" s="5" t="n"/>
      <c r="AD120" s="6" t="n"/>
      <c r="AE120" s="67" t="n"/>
      <c r="AF120" s="6" t="n"/>
      <c r="AG120" s="67" t="n"/>
      <c r="AH120" s="6" t="n"/>
      <c r="AI120" s="67" t="n"/>
      <c r="AJ120" s="6" t="n"/>
      <c r="AK120" s="67" t="n"/>
      <c r="AL120" s="6" t="n"/>
      <c r="AM120" s="67" t="n"/>
      <c r="AN120" s="5" t="n"/>
      <c r="AO120" s="6" t="n"/>
      <c r="AP120" s="67" t="n"/>
      <c r="AQ120" s="6" t="n"/>
      <c r="AR120" s="66" t="n"/>
      <c r="AS120" s="5" t="n"/>
      <c r="AT120" s="6" t="n"/>
      <c r="AU120" s="67" t="n"/>
      <c r="AV120" s="6" t="n"/>
      <c r="AW120" s="67" t="n"/>
      <c r="AX120" s="6" t="n"/>
      <c r="AY120" s="67" t="n"/>
      <c r="AZ120" s="6" t="n"/>
      <c r="BA120" s="67" t="n"/>
      <c r="BB120" s="5" t="n"/>
      <c r="BC120" s="6" t="n"/>
      <c r="BD120" s="67" t="n"/>
      <c r="BE120" s="6" t="n"/>
      <c r="BF120" s="66" t="n"/>
      <c r="BG120" s="5" t="n"/>
      <c r="BH120" s="6" t="n"/>
      <c r="BI120" s="68" t="n"/>
      <c r="BJ120" s="5" t="n"/>
      <c r="BK120" s="42" t="n"/>
    </row>
    <row r="121" ht="20" customHeight="1">
      <c r="A121" s="61" t="n"/>
      <c r="B121" s="6" t="n"/>
      <c r="C121" s="62" t="n"/>
      <c r="D121" s="5" t="n"/>
      <c r="E121" s="5" t="n"/>
      <c r="F121" s="6" t="n"/>
      <c r="G121" s="62" t="n"/>
      <c r="H121" s="5" t="n"/>
      <c r="I121" s="6" t="n"/>
      <c r="J121" s="62" t="n"/>
      <c r="K121" s="5" t="n"/>
      <c r="L121" s="6" t="n"/>
      <c r="M121" s="62" t="n"/>
      <c r="N121" s="5" t="n"/>
      <c r="O121" s="5" t="n"/>
      <c r="P121" s="5" t="n"/>
      <c r="Q121" s="6" t="n"/>
      <c r="R121" s="62" t="n"/>
      <c r="S121" s="5" t="n"/>
      <c r="T121" s="5" t="n"/>
      <c r="U121" s="5" t="n"/>
      <c r="V121" s="5" t="n"/>
      <c r="W121" s="5" t="n"/>
      <c r="X121" s="6" t="n"/>
      <c r="Y121" s="62" t="n"/>
      <c r="Z121" s="5" t="n"/>
      <c r="AA121" s="5" t="n"/>
      <c r="AB121" s="5" t="n"/>
      <c r="AC121" s="5" t="n"/>
      <c r="AD121" s="6" t="n"/>
      <c r="AE121" s="63" t="n"/>
      <c r="AF121" s="6" t="n"/>
      <c r="AG121" s="63" t="n"/>
      <c r="AH121" s="6" t="n"/>
      <c r="AI121" s="63" t="n"/>
      <c r="AJ121" s="6" t="n"/>
      <c r="AK121" s="63" t="n"/>
      <c r="AL121" s="6" t="n"/>
      <c r="AM121" s="63" t="n"/>
      <c r="AN121" s="5" t="n"/>
      <c r="AO121" s="6" t="n"/>
      <c r="AP121" s="63" t="n"/>
      <c r="AQ121" s="6" t="n"/>
      <c r="AR121" s="62" t="n"/>
      <c r="AS121" s="5" t="n"/>
      <c r="AT121" s="6" t="n"/>
      <c r="AU121" s="63" t="n"/>
      <c r="AV121" s="6" t="n"/>
      <c r="AW121" s="63" t="n"/>
      <c r="AX121" s="6" t="n"/>
      <c r="AY121" s="63" t="n"/>
      <c r="AZ121" s="6" t="n"/>
      <c r="BA121" s="63" t="n"/>
      <c r="BB121" s="5" t="n"/>
      <c r="BC121" s="6" t="n"/>
      <c r="BD121" s="63" t="n"/>
      <c r="BE121" s="6" t="n"/>
      <c r="BF121" s="62" t="n"/>
      <c r="BG121" s="5" t="n"/>
      <c r="BH121" s="6" t="n"/>
      <c r="BI121" s="64" t="n"/>
      <c r="BJ121" s="5" t="n"/>
      <c r="BK121" s="42" t="n"/>
    </row>
    <row r="122" ht="20" customHeight="1">
      <c r="A122" s="65" t="n"/>
      <c r="B122" s="6" t="n"/>
      <c r="C122" s="66" t="n"/>
      <c r="D122" s="5" t="n"/>
      <c r="E122" s="5" t="n"/>
      <c r="F122" s="6" t="n"/>
      <c r="G122" s="66" t="n"/>
      <c r="H122" s="5" t="n"/>
      <c r="I122" s="6" t="n"/>
      <c r="J122" s="66" t="n"/>
      <c r="K122" s="5" t="n"/>
      <c r="L122" s="6" t="n"/>
      <c r="M122" s="66" t="n"/>
      <c r="N122" s="5" t="n"/>
      <c r="O122" s="5" t="n"/>
      <c r="P122" s="5" t="n"/>
      <c r="Q122" s="6" t="n"/>
      <c r="R122" s="66" t="n"/>
      <c r="S122" s="5" t="n"/>
      <c r="T122" s="5" t="n"/>
      <c r="U122" s="5" t="n"/>
      <c r="V122" s="5" t="n"/>
      <c r="W122" s="5" t="n"/>
      <c r="X122" s="6" t="n"/>
      <c r="Y122" s="66" t="n"/>
      <c r="Z122" s="5" t="n"/>
      <c r="AA122" s="5" t="n"/>
      <c r="AB122" s="5" t="n"/>
      <c r="AC122" s="5" t="n"/>
      <c r="AD122" s="6" t="n"/>
      <c r="AE122" s="67" t="n"/>
      <c r="AF122" s="6" t="n"/>
      <c r="AG122" s="67" t="n"/>
      <c r="AH122" s="6" t="n"/>
      <c r="AI122" s="67" t="n"/>
      <c r="AJ122" s="6" t="n"/>
      <c r="AK122" s="67" t="n"/>
      <c r="AL122" s="6" t="n"/>
      <c r="AM122" s="67" t="n"/>
      <c r="AN122" s="5" t="n"/>
      <c r="AO122" s="6" t="n"/>
      <c r="AP122" s="67" t="n"/>
      <c r="AQ122" s="6" t="n"/>
      <c r="AR122" s="66" t="n"/>
      <c r="AS122" s="5" t="n"/>
      <c r="AT122" s="6" t="n"/>
      <c r="AU122" s="67" t="n"/>
      <c r="AV122" s="6" t="n"/>
      <c r="AW122" s="67" t="n"/>
      <c r="AX122" s="6" t="n"/>
      <c r="AY122" s="67" t="n"/>
      <c r="AZ122" s="6" t="n"/>
      <c r="BA122" s="67" t="n"/>
      <c r="BB122" s="5" t="n"/>
      <c r="BC122" s="6" t="n"/>
      <c r="BD122" s="67" t="n"/>
      <c r="BE122" s="6" t="n"/>
      <c r="BF122" s="66" t="n"/>
      <c r="BG122" s="5" t="n"/>
      <c r="BH122" s="6" t="n"/>
      <c r="BI122" s="68" t="n"/>
      <c r="BJ122" s="5" t="n"/>
      <c r="BK122" s="42" t="n"/>
    </row>
    <row r="123" ht="20" customHeight="1">
      <c r="A123" s="61" t="n"/>
      <c r="B123" s="6" t="n"/>
      <c r="C123" s="62" t="n"/>
      <c r="D123" s="5" t="n"/>
      <c r="E123" s="5" t="n"/>
      <c r="F123" s="6" t="n"/>
      <c r="G123" s="62" t="n"/>
      <c r="H123" s="5" t="n"/>
      <c r="I123" s="6" t="n"/>
      <c r="J123" s="62" t="n"/>
      <c r="K123" s="5" t="n"/>
      <c r="L123" s="6" t="n"/>
      <c r="M123" s="62" t="n"/>
      <c r="N123" s="5" t="n"/>
      <c r="O123" s="5" t="n"/>
      <c r="P123" s="5" t="n"/>
      <c r="Q123" s="6" t="n"/>
      <c r="R123" s="62" t="n"/>
      <c r="S123" s="5" t="n"/>
      <c r="T123" s="5" t="n"/>
      <c r="U123" s="5" t="n"/>
      <c r="V123" s="5" t="n"/>
      <c r="W123" s="5" t="n"/>
      <c r="X123" s="6" t="n"/>
      <c r="Y123" s="62" t="n"/>
      <c r="Z123" s="5" t="n"/>
      <c r="AA123" s="5" t="n"/>
      <c r="AB123" s="5" t="n"/>
      <c r="AC123" s="5" t="n"/>
      <c r="AD123" s="6" t="n"/>
      <c r="AE123" s="63" t="n"/>
      <c r="AF123" s="6" t="n"/>
      <c r="AG123" s="63" t="n"/>
      <c r="AH123" s="6" t="n"/>
      <c r="AI123" s="63" t="n"/>
      <c r="AJ123" s="6" t="n"/>
      <c r="AK123" s="63" t="n"/>
      <c r="AL123" s="6" t="n"/>
      <c r="AM123" s="63" t="n"/>
      <c r="AN123" s="5" t="n"/>
      <c r="AO123" s="6" t="n"/>
      <c r="AP123" s="63" t="n"/>
      <c r="AQ123" s="6" t="n"/>
      <c r="AR123" s="62" t="n"/>
      <c r="AS123" s="5" t="n"/>
      <c r="AT123" s="6" t="n"/>
      <c r="AU123" s="63" t="n"/>
      <c r="AV123" s="6" t="n"/>
      <c r="AW123" s="63" t="n"/>
      <c r="AX123" s="6" t="n"/>
      <c r="AY123" s="63" t="n"/>
      <c r="AZ123" s="6" t="n"/>
      <c r="BA123" s="63" t="n"/>
      <c r="BB123" s="5" t="n"/>
      <c r="BC123" s="6" t="n"/>
      <c r="BD123" s="63" t="n"/>
      <c r="BE123" s="6" t="n"/>
      <c r="BF123" s="62" t="n"/>
      <c r="BG123" s="5" t="n"/>
      <c r="BH123" s="6" t="n"/>
      <c r="BI123" s="64" t="n"/>
      <c r="BJ123" s="5" t="n"/>
      <c r="BK123" s="42" t="n"/>
    </row>
    <row r="124" ht="20" customHeight="1">
      <c r="A124" s="65" t="n"/>
      <c r="B124" s="6" t="n"/>
      <c r="C124" s="66" t="n"/>
      <c r="D124" s="5" t="n"/>
      <c r="E124" s="5" t="n"/>
      <c r="F124" s="6" t="n"/>
      <c r="G124" s="66" t="n"/>
      <c r="H124" s="5" t="n"/>
      <c r="I124" s="6" t="n"/>
      <c r="J124" s="66" t="n"/>
      <c r="K124" s="5" t="n"/>
      <c r="L124" s="6" t="n"/>
      <c r="M124" s="66" t="n"/>
      <c r="N124" s="5" t="n"/>
      <c r="O124" s="5" t="n"/>
      <c r="P124" s="5" t="n"/>
      <c r="Q124" s="6" t="n"/>
      <c r="R124" s="66" t="n"/>
      <c r="S124" s="5" t="n"/>
      <c r="T124" s="5" t="n"/>
      <c r="U124" s="5" t="n"/>
      <c r="V124" s="5" t="n"/>
      <c r="W124" s="5" t="n"/>
      <c r="X124" s="6" t="n"/>
      <c r="Y124" s="66" t="n"/>
      <c r="Z124" s="5" t="n"/>
      <c r="AA124" s="5" t="n"/>
      <c r="AB124" s="5" t="n"/>
      <c r="AC124" s="5" t="n"/>
      <c r="AD124" s="6" t="n"/>
      <c r="AE124" s="67" t="n"/>
      <c r="AF124" s="6" t="n"/>
      <c r="AG124" s="67" t="n"/>
      <c r="AH124" s="6" t="n"/>
      <c r="AI124" s="67" t="n"/>
      <c r="AJ124" s="6" t="n"/>
      <c r="AK124" s="67" t="n"/>
      <c r="AL124" s="6" t="n"/>
      <c r="AM124" s="67" t="n"/>
      <c r="AN124" s="5" t="n"/>
      <c r="AO124" s="6" t="n"/>
      <c r="AP124" s="67" t="n"/>
      <c r="AQ124" s="6" t="n"/>
      <c r="AR124" s="66" t="n"/>
      <c r="AS124" s="5" t="n"/>
      <c r="AT124" s="6" t="n"/>
      <c r="AU124" s="67" t="n"/>
      <c r="AV124" s="6" t="n"/>
      <c r="AW124" s="67" t="n"/>
      <c r="AX124" s="6" t="n"/>
      <c r="AY124" s="67" t="n"/>
      <c r="AZ124" s="6" t="n"/>
      <c r="BA124" s="67" t="n"/>
      <c r="BB124" s="5" t="n"/>
      <c r="BC124" s="6" t="n"/>
      <c r="BD124" s="67" t="n"/>
      <c r="BE124" s="6" t="n"/>
      <c r="BF124" s="66" t="n"/>
      <c r="BG124" s="5" t="n"/>
      <c r="BH124" s="6" t="n"/>
      <c r="BI124" s="68" t="n"/>
      <c r="BJ124" s="5" t="n"/>
      <c r="BK124" s="42" t="n"/>
    </row>
    <row r="125" ht="20" customHeight="1">
      <c r="A125" s="61" t="n"/>
      <c r="B125" s="6" t="n"/>
      <c r="C125" s="62" t="n"/>
      <c r="D125" s="5" t="n"/>
      <c r="E125" s="5" t="n"/>
      <c r="F125" s="6" t="n"/>
      <c r="G125" s="62" t="n"/>
      <c r="H125" s="5" t="n"/>
      <c r="I125" s="6" t="n"/>
      <c r="J125" s="62" t="n"/>
      <c r="K125" s="5" t="n"/>
      <c r="L125" s="6" t="n"/>
      <c r="M125" s="62" t="n"/>
      <c r="N125" s="5" t="n"/>
      <c r="O125" s="5" t="n"/>
      <c r="P125" s="5" t="n"/>
      <c r="Q125" s="6" t="n"/>
      <c r="R125" s="62" t="n"/>
      <c r="S125" s="5" t="n"/>
      <c r="T125" s="5" t="n"/>
      <c r="U125" s="5" t="n"/>
      <c r="V125" s="5" t="n"/>
      <c r="W125" s="5" t="n"/>
      <c r="X125" s="6" t="n"/>
      <c r="Y125" s="62" t="n"/>
      <c r="Z125" s="5" t="n"/>
      <c r="AA125" s="5" t="n"/>
      <c r="AB125" s="5" t="n"/>
      <c r="AC125" s="5" t="n"/>
      <c r="AD125" s="6" t="n"/>
      <c r="AE125" s="63" t="n"/>
      <c r="AF125" s="6" t="n"/>
      <c r="AG125" s="63" t="n"/>
      <c r="AH125" s="6" t="n"/>
      <c r="AI125" s="63" t="n"/>
      <c r="AJ125" s="6" t="n"/>
      <c r="AK125" s="63" t="n"/>
      <c r="AL125" s="6" t="n"/>
      <c r="AM125" s="63" t="n"/>
      <c r="AN125" s="5" t="n"/>
      <c r="AO125" s="6" t="n"/>
      <c r="AP125" s="63" t="n"/>
      <c r="AQ125" s="6" t="n"/>
      <c r="AR125" s="62" t="n"/>
      <c r="AS125" s="5" t="n"/>
      <c r="AT125" s="6" t="n"/>
      <c r="AU125" s="63" t="n"/>
      <c r="AV125" s="6" t="n"/>
      <c r="AW125" s="63" t="n"/>
      <c r="AX125" s="6" t="n"/>
      <c r="AY125" s="63" t="n"/>
      <c r="AZ125" s="6" t="n"/>
      <c r="BA125" s="63" t="n"/>
      <c r="BB125" s="5" t="n"/>
      <c r="BC125" s="6" t="n"/>
      <c r="BD125" s="63" t="n"/>
      <c r="BE125" s="6" t="n"/>
      <c r="BF125" s="62" t="n"/>
      <c r="BG125" s="5" t="n"/>
      <c r="BH125" s="6" t="n"/>
      <c r="BI125" s="64" t="n"/>
      <c r="BJ125" s="5" t="n"/>
      <c r="BK125" s="42" t="n"/>
    </row>
    <row r="126" ht="20" customHeight="1">
      <c r="A126" s="65" t="n"/>
      <c r="B126" s="6" t="n"/>
      <c r="C126" s="66" t="n"/>
      <c r="D126" s="5" t="n"/>
      <c r="E126" s="5" t="n"/>
      <c r="F126" s="6" t="n"/>
      <c r="G126" s="66" t="n"/>
      <c r="H126" s="5" t="n"/>
      <c r="I126" s="6" t="n"/>
      <c r="J126" s="66" t="n"/>
      <c r="K126" s="5" t="n"/>
      <c r="L126" s="6" t="n"/>
      <c r="M126" s="66" t="n"/>
      <c r="N126" s="5" t="n"/>
      <c r="O126" s="5" t="n"/>
      <c r="P126" s="5" t="n"/>
      <c r="Q126" s="6" t="n"/>
      <c r="R126" s="66" t="n"/>
      <c r="S126" s="5" t="n"/>
      <c r="T126" s="5" t="n"/>
      <c r="U126" s="5" t="n"/>
      <c r="V126" s="5" t="n"/>
      <c r="W126" s="5" t="n"/>
      <c r="X126" s="6" t="n"/>
      <c r="Y126" s="66" t="n"/>
      <c r="Z126" s="5" t="n"/>
      <c r="AA126" s="5" t="n"/>
      <c r="AB126" s="5" t="n"/>
      <c r="AC126" s="5" t="n"/>
      <c r="AD126" s="6" t="n"/>
      <c r="AE126" s="67" t="n"/>
      <c r="AF126" s="6" t="n"/>
      <c r="AG126" s="67" t="n"/>
      <c r="AH126" s="6" t="n"/>
      <c r="AI126" s="67" t="n"/>
      <c r="AJ126" s="6" t="n"/>
      <c r="AK126" s="67" t="n"/>
      <c r="AL126" s="6" t="n"/>
      <c r="AM126" s="67" t="n"/>
      <c r="AN126" s="5" t="n"/>
      <c r="AO126" s="6" t="n"/>
      <c r="AP126" s="67" t="n"/>
      <c r="AQ126" s="6" t="n"/>
      <c r="AR126" s="66" t="n"/>
      <c r="AS126" s="5" t="n"/>
      <c r="AT126" s="6" t="n"/>
      <c r="AU126" s="67" t="n"/>
      <c r="AV126" s="6" t="n"/>
      <c r="AW126" s="67" t="n"/>
      <c r="AX126" s="6" t="n"/>
      <c r="AY126" s="67" t="n"/>
      <c r="AZ126" s="6" t="n"/>
      <c r="BA126" s="67" t="n"/>
      <c r="BB126" s="5" t="n"/>
      <c r="BC126" s="6" t="n"/>
      <c r="BD126" s="67" t="n"/>
      <c r="BE126" s="6" t="n"/>
      <c r="BF126" s="66" t="n"/>
      <c r="BG126" s="5" t="n"/>
      <c r="BH126" s="6" t="n"/>
      <c r="BI126" s="68" t="n"/>
      <c r="BJ126" s="5" t="n"/>
      <c r="BK126" s="42" t="n"/>
    </row>
    <row r="127" ht="20" customHeight="1">
      <c r="A127" s="61" t="n"/>
      <c r="B127" s="6" t="n"/>
      <c r="C127" s="62" t="n"/>
      <c r="D127" s="5" t="n"/>
      <c r="E127" s="5" t="n"/>
      <c r="F127" s="6" t="n"/>
      <c r="G127" s="62" t="n"/>
      <c r="H127" s="5" t="n"/>
      <c r="I127" s="6" t="n"/>
      <c r="J127" s="62" t="n"/>
      <c r="K127" s="5" t="n"/>
      <c r="L127" s="6" t="n"/>
      <c r="M127" s="62" t="n"/>
      <c r="N127" s="5" t="n"/>
      <c r="O127" s="5" t="n"/>
      <c r="P127" s="5" t="n"/>
      <c r="Q127" s="6" t="n"/>
      <c r="R127" s="62" t="n"/>
      <c r="S127" s="5" t="n"/>
      <c r="T127" s="5" t="n"/>
      <c r="U127" s="5" t="n"/>
      <c r="V127" s="5" t="n"/>
      <c r="W127" s="5" t="n"/>
      <c r="X127" s="6" t="n"/>
      <c r="Y127" s="62" t="n"/>
      <c r="Z127" s="5" t="n"/>
      <c r="AA127" s="5" t="n"/>
      <c r="AB127" s="5" t="n"/>
      <c r="AC127" s="5" t="n"/>
      <c r="AD127" s="6" t="n"/>
      <c r="AE127" s="63" t="n"/>
      <c r="AF127" s="6" t="n"/>
      <c r="AG127" s="63" t="n"/>
      <c r="AH127" s="6" t="n"/>
      <c r="AI127" s="63" t="n"/>
      <c r="AJ127" s="6" t="n"/>
      <c r="AK127" s="63" t="n"/>
      <c r="AL127" s="6" t="n"/>
      <c r="AM127" s="63" t="n"/>
      <c r="AN127" s="5" t="n"/>
      <c r="AO127" s="6" t="n"/>
      <c r="AP127" s="63" t="n"/>
      <c r="AQ127" s="6" t="n"/>
      <c r="AR127" s="62" t="n"/>
      <c r="AS127" s="5" t="n"/>
      <c r="AT127" s="6" t="n"/>
      <c r="AU127" s="63" t="n"/>
      <c r="AV127" s="6" t="n"/>
      <c r="AW127" s="63" t="n"/>
      <c r="AX127" s="6" t="n"/>
      <c r="AY127" s="63" t="n"/>
      <c r="AZ127" s="6" t="n"/>
      <c r="BA127" s="63" t="n"/>
      <c r="BB127" s="5" t="n"/>
      <c r="BC127" s="6" t="n"/>
      <c r="BD127" s="63" t="n"/>
      <c r="BE127" s="6" t="n"/>
      <c r="BF127" s="62" t="n"/>
      <c r="BG127" s="5" t="n"/>
      <c r="BH127" s="6" t="n"/>
      <c r="BI127" s="64" t="n"/>
      <c r="BJ127" s="5" t="n"/>
      <c r="BK127" s="42" t="n"/>
    </row>
    <row r="128" ht="20" customHeight="1">
      <c r="A128" s="65" t="n"/>
      <c r="B128" s="6" t="n"/>
      <c r="C128" s="66" t="n"/>
      <c r="D128" s="5" t="n"/>
      <c r="E128" s="5" t="n"/>
      <c r="F128" s="6" t="n"/>
      <c r="G128" s="66" t="n"/>
      <c r="H128" s="5" t="n"/>
      <c r="I128" s="6" t="n"/>
      <c r="J128" s="66" t="n"/>
      <c r="K128" s="5" t="n"/>
      <c r="L128" s="6" t="n"/>
      <c r="M128" s="66" t="n"/>
      <c r="N128" s="5" t="n"/>
      <c r="O128" s="5" t="n"/>
      <c r="P128" s="5" t="n"/>
      <c r="Q128" s="6" t="n"/>
      <c r="R128" s="66" t="n"/>
      <c r="S128" s="5" t="n"/>
      <c r="T128" s="5" t="n"/>
      <c r="U128" s="5" t="n"/>
      <c r="V128" s="5" t="n"/>
      <c r="W128" s="5" t="n"/>
      <c r="X128" s="6" t="n"/>
      <c r="Y128" s="66" t="n"/>
      <c r="Z128" s="5" t="n"/>
      <c r="AA128" s="5" t="n"/>
      <c r="AB128" s="5" t="n"/>
      <c r="AC128" s="5" t="n"/>
      <c r="AD128" s="6" t="n"/>
      <c r="AE128" s="67" t="n"/>
      <c r="AF128" s="6" t="n"/>
      <c r="AG128" s="67" t="n"/>
      <c r="AH128" s="6" t="n"/>
      <c r="AI128" s="67" t="n"/>
      <c r="AJ128" s="6" t="n"/>
      <c r="AK128" s="67" t="n"/>
      <c r="AL128" s="6" t="n"/>
      <c r="AM128" s="67" t="n"/>
      <c r="AN128" s="5" t="n"/>
      <c r="AO128" s="6" t="n"/>
      <c r="AP128" s="67" t="n"/>
      <c r="AQ128" s="6" t="n"/>
      <c r="AR128" s="66" t="n"/>
      <c r="AS128" s="5" t="n"/>
      <c r="AT128" s="6" t="n"/>
      <c r="AU128" s="67" t="n"/>
      <c r="AV128" s="6" t="n"/>
      <c r="AW128" s="67" t="n"/>
      <c r="AX128" s="6" t="n"/>
      <c r="AY128" s="67" t="n"/>
      <c r="AZ128" s="6" t="n"/>
      <c r="BA128" s="67" t="n"/>
      <c r="BB128" s="5" t="n"/>
      <c r="BC128" s="6" t="n"/>
      <c r="BD128" s="67" t="n"/>
      <c r="BE128" s="6" t="n"/>
      <c r="BF128" s="66" t="n"/>
      <c r="BG128" s="5" t="n"/>
      <c r="BH128" s="6" t="n"/>
      <c r="BI128" s="68" t="n"/>
      <c r="BJ128" s="5" t="n"/>
      <c r="BK128" s="42" t="n"/>
    </row>
    <row r="129" ht="20" customHeight="1">
      <c r="A129" s="61" t="n"/>
      <c r="B129" s="6" t="n"/>
      <c r="C129" s="62" t="n"/>
      <c r="D129" s="5" t="n"/>
      <c r="E129" s="5" t="n"/>
      <c r="F129" s="6" t="n"/>
      <c r="G129" s="62" t="n"/>
      <c r="H129" s="5" t="n"/>
      <c r="I129" s="6" t="n"/>
      <c r="J129" s="62" t="n"/>
      <c r="K129" s="5" t="n"/>
      <c r="L129" s="6" t="n"/>
      <c r="M129" s="62" t="n"/>
      <c r="N129" s="5" t="n"/>
      <c r="O129" s="5" t="n"/>
      <c r="P129" s="5" t="n"/>
      <c r="Q129" s="6" t="n"/>
      <c r="R129" s="62" t="n"/>
      <c r="S129" s="5" t="n"/>
      <c r="T129" s="5" t="n"/>
      <c r="U129" s="5" t="n"/>
      <c r="V129" s="5" t="n"/>
      <c r="W129" s="5" t="n"/>
      <c r="X129" s="6" t="n"/>
      <c r="Y129" s="62" t="n"/>
      <c r="Z129" s="5" t="n"/>
      <c r="AA129" s="5" t="n"/>
      <c r="AB129" s="5" t="n"/>
      <c r="AC129" s="5" t="n"/>
      <c r="AD129" s="6" t="n"/>
      <c r="AE129" s="63" t="n"/>
      <c r="AF129" s="6" t="n"/>
      <c r="AG129" s="63" t="n"/>
      <c r="AH129" s="6" t="n"/>
      <c r="AI129" s="63" t="n"/>
      <c r="AJ129" s="6" t="n"/>
      <c r="AK129" s="63" t="n"/>
      <c r="AL129" s="6" t="n"/>
      <c r="AM129" s="63" t="n"/>
      <c r="AN129" s="5" t="n"/>
      <c r="AO129" s="6" t="n"/>
      <c r="AP129" s="63" t="n"/>
      <c r="AQ129" s="6" t="n"/>
      <c r="AR129" s="62" t="n"/>
      <c r="AS129" s="5" t="n"/>
      <c r="AT129" s="6" t="n"/>
      <c r="AU129" s="63" t="n"/>
      <c r="AV129" s="6" t="n"/>
      <c r="AW129" s="63" t="n"/>
      <c r="AX129" s="6" t="n"/>
      <c r="AY129" s="63" t="n"/>
      <c r="AZ129" s="6" t="n"/>
      <c r="BA129" s="63" t="n"/>
      <c r="BB129" s="5" t="n"/>
      <c r="BC129" s="6" t="n"/>
      <c r="BD129" s="63" t="n"/>
      <c r="BE129" s="6" t="n"/>
      <c r="BF129" s="62" t="n"/>
      <c r="BG129" s="5" t="n"/>
      <c r="BH129" s="6" t="n"/>
      <c r="BI129" s="64" t="n"/>
      <c r="BJ129" s="5" t="n"/>
      <c r="BK129" s="42" t="n"/>
    </row>
    <row r="130" ht="20" customHeight="1">
      <c r="A130" s="65" t="n"/>
      <c r="B130" s="6" t="n"/>
      <c r="C130" s="66" t="n"/>
      <c r="D130" s="5" t="n"/>
      <c r="E130" s="5" t="n"/>
      <c r="F130" s="6" t="n"/>
      <c r="G130" s="66" t="n"/>
      <c r="H130" s="5" t="n"/>
      <c r="I130" s="6" t="n"/>
      <c r="J130" s="66" t="n"/>
      <c r="K130" s="5" t="n"/>
      <c r="L130" s="6" t="n"/>
      <c r="M130" s="66" t="n"/>
      <c r="N130" s="5" t="n"/>
      <c r="O130" s="5" t="n"/>
      <c r="P130" s="5" t="n"/>
      <c r="Q130" s="6" t="n"/>
      <c r="R130" s="66" t="n"/>
      <c r="S130" s="5" t="n"/>
      <c r="T130" s="5" t="n"/>
      <c r="U130" s="5" t="n"/>
      <c r="V130" s="5" t="n"/>
      <c r="W130" s="5" t="n"/>
      <c r="X130" s="6" t="n"/>
      <c r="Y130" s="66" t="n"/>
      <c r="Z130" s="5" t="n"/>
      <c r="AA130" s="5" t="n"/>
      <c r="AB130" s="5" t="n"/>
      <c r="AC130" s="5" t="n"/>
      <c r="AD130" s="6" t="n"/>
      <c r="AE130" s="67" t="n"/>
      <c r="AF130" s="6" t="n"/>
      <c r="AG130" s="67" t="n"/>
      <c r="AH130" s="6" t="n"/>
      <c r="AI130" s="67" t="n"/>
      <c r="AJ130" s="6" t="n"/>
      <c r="AK130" s="67" t="n"/>
      <c r="AL130" s="6" t="n"/>
      <c r="AM130" s="67" t="n"/>
      <c r="AN130" s="5" t="n"/>
      <c r="AO130" s="6" t="n"/>
      <c r="AP130" s="67" t="n"/>
      <c r="AQ130" s="6" t="n"/>
      <c r="AR130" s="66" t="n"/>
      <c r="AS130" s="5" t="n"/>
      <c r="AT130" s="6" t="n"/>
      <c r="AU130" s="67" t="n"/>
      <c r="AV130" s="6" t="n"/>
      <c r="AW130" s="67" t="n"/>
      <c r="AX130" s="6" t="n"/>
      <c r="AY130" s="67" t="n"/>
      <c r="AZ130" s="6" t="n"/>
      <c r="BA130" s="67" t="n"/>
      <c r="BB130" s="5" t="n"/>
      <c r="BC130" s="6" t="n"/>
      <c r="BD130" s="67" t="n"/>
      <c r="BE130" s="6" t="n"/>
      <c r="BF130" s="66" t="n"/>
      <c r="BG130" s="5" t="n"/>
      <c r="BH130" s="6" t="n"/>
      <c r="BI130" s="68" t="n"/>
      <c r="BJ130" s="5" t="n"/>
      <c r="BK130" s="42" t="n"/>
    </row>
    <row r="131" ht="20" customHeight="1">
      <c r="A131" s="61" t="n"/>
      <c r="B131" s="6" t="n"/>
      <c r="C131" s="62" t="n"/>
      <c r="D131" s="5" t="n"/>
      <c r="E131" s="5" t="n"/>
      <c r="F131" s="6" t="n"/>
      <c r="G131" s="62" t="n"/>
      <c r="H131" s="5" t="n"/>
      <c r="I131" s="6" t="n"/>
      <c r="J131" s="62" t="n"/>
      <c r="K131" s="5" t="n"/>
      <c r="L131" s="6" t="n"/>
      <c r="M131" s="62" t="n"/>
      <c r="N131" s="5" t="n"/>
      <c r="O131" s="5" t="n"/>
      <c r="P131" s="5" t="n"/>
      <c r="Q131" s="6" t="n"/>
      <c r="R131" s="62" t="n"/>
      <c r="S131" s="5" t="n"/>
      <c r="T131" s="5" t="n"/>
      <c r="U131" s="5" t="n"/>
      <c r="V131" s="5" t="n"/>
      <c r="W131" s="5" t="n"/>
      <c r="X131" s="6" t="n"/>
      <c r="Y131" s="62" t="n"/>
      <c r="Z131" s="5" t="n"/>
      <c r="AA131" s="5" t="n"/>
      <c r="AB131" s="5" t="n"/>
      <c r="AC131" s="5" t="n"/>
      <c r="AD131" s="6" t="n"/>
      <c r="AE131" s="63" t="n"/>
      <c r="AF131" s="6" t="n"/>
      <c r="AG131" s="63" t="n"/>
      <c r="AH131" s="6" t="n"/>
      <c r="AI131" s="63" t="n"/>
      <c r="AJ131" s="6" t="n"/>
      <c r="AK131" s="63" t="n"/>
      <c r="AL131" s="6" t="n"/>
      <c r="AM131" s="63" t="n"/>
      <c r="AN131" s="5" t="n"/>
      <c r="AO131" s="6" t="n"/>
      <c r="AP131" s="63" t="n"/>
      <c r="AQ131" s="6" t="n"/>
      <c r="AR131" s="62" t="n"/>
      <c r="AS131" s="5" t="n"/>
      <c r="AT131" s="6" t="n"/>
      <c r="AU131" s="63" t="n"/>
      <c r="AV131" s="6" t="n"/>
      <c r="AW131" s="63" t="n"/>
      <c r="AX131" s="6" t="n"/>
      <c r="AY131" s="63" t="n"/>
      <c r="AZ131" s="6" t="n"/>
      <c r="BA131" s="63" t="n"/>
      <c r="BB131" s="5" t="n"/>
      <c r="BC131" s="6" t="n"/>
      <c r="BD131" s="63" t="n"/>
      <c r="BE131" s="6" t="n"/>
      <c r="BF131" s="62" t="n"/>
      <c r="BG131" s="5" t="n"/>
      <c r="BH131" s="6" t="n"/>
      <c r="BI131" s="64" t="n"/>
      <c r="BJ131" s="5" t="n"/>
      <c r="BK131" s="42" t="n"/>
    </row>
    <row r="132" ht="20" customHeight="1">
      <c r="A132" s="65" t="n"/>
      <c r="B132" s="6" t="n"/>
      <c r="C132" s="66" t="n"/>
      <c r="D132" s="5" t="n"/>
      <c r="E132" s="5" t="n"/>
      <c r="F132" s="6" t="n"/>
      <c r="G132" s="66" t="n"/>
      <c r="H132" s="5" t="n"/>
      <c r="I132" s="6" t="n"/>
      <c r="J132" s="66" t="n"/>
      <c r="K132" s="5" t="n"/>
      <c r="L132" s="6" t="n"/>
      <c r="M132" s="66" t="n"/>
      <c r="N132" s="5" t="n"/>
      <c r="O132" s="5" t="n"/>
      <c r="P132" s="5" t="n"/>
      <c r="Q132" s="6" t="n"/>
      <c r="R132" s="66" t="n"/>
      <c r="S132" s="5" t="n"/>
      <c r="T132" s="5" t="n"/>
      <c r="U132" s="5" t="n"/>
      <c r="V132" s="5" t="n"/>
      <c r="W132" s="5" t="n"/>
      <c r="X132" s="6" t="n"/>
      <c r="Y132" s="66" t="n"/>
      <c r="Z132" s="5" t="n"/>
      <c r="AA132" s="5" t="n"/>
      <c r="AB132" s="5" t="n"/>
      <c r="AC132" s="5" t="n"/>
      <c r="AD132" s="6" t="n"/>
      <c r="AE132" s="67" t="n"/>
      <c r="AF132" s="6" t="n"/>
      <c r="AG132" s="67" t="n"/>
      <c r="AH132" s="6" t="n"/>
      <c r="AI132" s="67" t="n"/>
      <c r="AJ132" s="6" t="n"/>
      <c r="AK132" s="67" t="n"/>
      <c r="AL132" s="6" t="n"/>
      <c r="AM132" s="67" t="n"/>
      <c r="AN132" s="5" t="n"/>
      <c r="AO132" s="6" t="n"/>
      <c r="AP132" s="67" t="n"/>
      <c r="AQ132" s="6" t="n"/>
      <c r="AR132" s="66" t="n"/>
      <c r="AS132" s="5" t="n"/>
      <c r="AT132" s="6" t="n"/>
      <c r="AU132" s="67" t="n"/>
      <c r="AV132" s="6" t="n"/>
      <c r="AW132" s="67" t="n"/>
      <c r="AX132" s="6" t="n"/>
      <c r="AY132" s="67" t="n"/>
      <c r="AZ132" s="6" t="n"/>
      <c r="BA132" s="67" t="n"/>
      <c r="BB132" s="5" t="n"/>
      <c r="BC132" s="6" t="n"/>
      <c r="BD132" s="67" t="n"/>
      <c r="BE132" s="6" t="n"/>
      <c r="BF132" s="66" t="n"/>
      <c r="BG132" s="5" t="n"/>
      <c r="BH132" s="6" t="n"/>
      <c r="BI132" s="68" t="n"/>
      <c r="BJ132" s="5" t="n"/>
      <c r="BK132" s="42" t="n"/>
    </row>
    <row r="133" ht="20" customHeight="1">
      <c r="A133" s="61" t="n"/>
      <c r="B133" s="6" t="n"/>
      <c r="C133" s="62" t="n"/>
      <c r="D133" s="5" t="n"/>
      <c r="E133" s="5" t="n"/>
      <c r="F133" s="6" t="n"/>
      <c r="G133" s="62" t="n"/>
      <c r="H133" s="5" t="n"/>
      <c r="I133" s="6" t="n"/>
      <c r="J133" s="62" t="n"/>
      <c r="K133" s="5" t="n"/>
      <c r="L133" s="6" t="n"/>
      <c r="M133" s="62" t="n"/>
      <c r="N133" s="5" t="n"/>
      <c r="O133" s="5" t="n"/>
      <c r="P133" s="5" t="n"/>
      <c r="Q133" s="6" t="n"/>
      <c r="R133" s="62" t="n"/>
      <c r="S133" s="5" t="n"/>
      <c r="T133" s="5" t="n"/>
      <c r="U133" s="5" t="n"/>
      <c r="V133" s="5" t="n"/>
      <c r="W133" s="5" t="n"/>
      <c r="X133" s="6" t="n"/>
      <c r="Y133" s="62" t="n"/>
      <c r="Z133" s="5" t="n"/>
      <c r="AA133" s="5" t="n"/>
      <c r="AB133" s="5" t="n"/>
      <c r="AC133" s="5" t="n"/>
      <c r="AD133" s="6" t="n"/>
      <c r="AE133" s="63" t="n"/>
      <c r="AF133" s="6" t="n"/>
      <c r="AG133" s="63" t="n"/>
      <c r="AH133" s="6" t="n"/>
      <c r="AI133" s="63" t="n"/>
      <c r="AJ133" s="6" t="n"/>
      <c r="AK133" s="63" t="n"/>
      <c r="AL133" s="6" t="n"/>
      <c r="AM133" s="63" t="n"/>
      <c r="AN133" s="5" t="n"/>
      <c r="AO133" s="6" t="n"/>
      <c r="AP133" s="63" t="n"/>
      <c r="AQ133" s="6" t="n"/>
      <c r="AR133" s="62" t="n"/>
      <c r="AS133" s="5" t="n"/>
      <c r="AT133" s="6" t="n"/>
      <c r="AU133" s="63" t="n"/>
      <c r="AV133" s="6" t="n"/>
      <c r="AW133" s="63" t="n"/>
      <c r="AX133" s="6" t="n"/>
      <c r="AY133" s="63" t="n"/>
      <c r="AZ133" s="6" t="n"/>
      <c r="BA133" s="63" t="n"/>
      <c r="BB133" s="5" t="n"/>
      <c r="BC133" s="6" t="n"/>
      <c r="BD133" s="63" t="n"/>
      <c r="BE133" s="6" t="n"/>
      <c r="BF133" s="62" t="n"/>
      <c r="BG133" s="5" t="n"/>
      <c r="BH133" s="6" t="n"/>
      <c r="BI133" s="64" t="n"/>
      <c r="BJ133" s="5" t="n"/>
      <c r="BK133" s="42" t="n"/>
    </row>
    <row r="134" ht="20" customHeight="1">
      <c r="A134" s="65" t="n"/>
      <c r="B134" s="6" t="n"/>
      <c r="C134" s="66" t="n"/>
      <c r="D134" s="5" t="n"/>
      <c r="E134" s="5" t="n"/>
      <c r="F134" s="6" t="n"/>
      <c r="G134" s="66" t="n"/>
      <c r="H134" s="5" t="n"/>
      <c r="I134" s="6" t="n"/>
      <c r="J134" s="66" t="n"/>
      <c r="K134" s="5" t="n"/>
      <c r="L134" s="6" t="n"/>
      <c r="M134" s="66" t="n"/>
      <c r="N134" s="5" t="n"/>
      <c r="O134" s="5" t="n"/>
      <c r="P134" s="5" t="n"/>
      <c r="Q134" s="6" t="n"/>
      <c r="R134" s="66" t="n"/>
      <c r="S134" s="5" t="n"/>
      <c r="T134" s="5" t="n"/>
      <c r="U134" s="5" t="n"/>
      <c r="V134" s="5" t="n"/>
      <c r="W134" s="5" t="n"/>
      <c r="X134" s="6" t="n"/>
      <c r="Y134" s="66" t="n"/>
      <c r="Z134" s="5" t="n"/>
      <c r="AA134" s="5" t="n"/>
      <c r="AB134" s="5" t="n"/>
      <c r="AC134" s="5" t="n"/>
      <c r="AD134" s="6" t="n"/>
      <c r="AE134" s="67" t="n"/>
      <c r="AF134" s="6" t="n"/>
      <c r="AG134" s="67" t="n"/>
      <c r="AH134" s="6" t="n"/>
      <c r="AI134" s="67" t="n"/>
      <c r="AJ134" s="6" t="n"/>
      <c r="AK134" s="67" t="n"/>
      <c r="AL134" s="6" t="n"/>
      <c r="AM134" s="67" t="n"/>
      <c r="AN134" s="5" t="n"/>
      <c r="AO134" s="6" t="n"/>
      <c r="AP134" s="67" t="n"/>
      <c r="AQ134" s="6" t="n"/>
      <c r="AR134" s="66" t="n"/>
      <c r="AS134" s="5" t="n"/>
      <c r="AT134" s="6" t="n"/>
      <c r="AU134" s="67" t="n"/>
      <c r="AV134" s="6" t="n"/>
      <c r="AW134" s="67" t="n"/>
      <c r="AX134" s="6" t="n"/>
      <c r="AY134" s="67" t="n"/>
      <c r="AZ134" s="6" t="n"/>
      <c r="BA134" s="67" t="n"/>
      <c r="BB134" s="5" t="n"/>
      <c r="BC134" s="6" t="n"/>
      <c r="BD134" s="67" t="n"/>
      <c r="BE134" s="6" t="n"/>
      <c r="BF134" s="66" t="n"/>
      <c r="BG134" s="5" t="n"/>
      <c r="BH134" s="6" t="n"/>
      <c r="BI134" s="68" t="n"/>
      <c r="BJ134" s="5" t="n"/>
      <c r="BK134" s="42" t="n"/>
    </row>
    <row r="135" ht="20" customHeight="1">
      <c r="A135" s="61" t="n"/>
      <c r="B135" s="6" t="n"/>
      <c r="C135" s="62" t="n"/>
      <c r="D135" s="5" t="n"/>
      <c r="E135" s="5" t="n"/>
      <c r="F135" s="6" t="n"/>
      <c r="G135" s="62" t="n"/>
      <c r="H135" s="5" t="n"/>
      <c r="I135" s="6" t="n"/>
      <c r="J135" s="62" t="n"/>
      <c r="K135" s="5" t="n"/>
      <c r="L135" s="6" t="n"/>
      <c r="M135" s="62" t="n"/>
      <c r="N135" s="5" t="n"/>
      <c r="O135" s="5" t="n"/>
      <c r="P135" s="5" t="n"/>
      <c r="Q135" s="6" t="n"/>
      <c r="R135" s="62" t="n"/>
      <c r="S135" s="5" t="n"/>
      <c r="T135" s="5" t="n"/>
      <c r="U135" s="5" t="n"/>
      <c r="V135" s="5" t="n"/>
      <c r="W135" s="5" t="n"/>
      <c r="X135" s="6" t="n"/>
      <c r="Y135" s="62" t="n"/>
      <c r="Z135" s="5" t="n"/>
      <c r="AA135" s="5" t="n"/>
      <c r="AB135" s="5" t="n"/>
      <c r="AC135" s="5" t="n"/>
      <c r="AD135" s="6" t="n"/>
      <c r="AE135" s="63" t="n"/>
      <c r="AF135" s="6" t="n"/>
      <c r="AG135" s="63" t="n"/>
      <c r="AH135" s="6" t="n"/>
      <c r="AI135" s="63" t="n"/>
      <c r="AJ135" s="6" t="n"/>
      <c r="AK135" s="63" t="n"/>
      <c r="AL135" s="6" t="n"/>
      <c r="AM135" s="63" t="n"/>
      <c r="AN135" s="5" t="n"/>
      <c r="AO135" s="6" t="n"/>
      <c r="AP135" s="63" t="n"/>
      <c r="AQ135" s="6" t="n"/>
      <c r="AR135" s="62" t="n"/>
      <c r="AS135" s="5" t="n"/>
      <c r="AT135" s="6" t="n"/>
      <c r="AU135" s="63" t="n"/>
      <c r="AV135" s="6" t="n"/>
      <c r="AW135" s="63" t="n"/>
      <c r="AX135" s="6" t="n"/>
      <c r="AY135" s="63" t="n"/>
      <c r="AZ135" s="6" t="n"/>
      <c r="BA135" s="63" t="n"/>
      <c r="BB135" s="5" t="n"/>
      <c r="BC135" s="6" t="n"/>
      <c r="BD135" s="63" t="n"/>
      <c r="BE135" s="6" t="n"/>
      <c r="BF135" s="62" t="n"/>
      <c r="BG135" s="5" t="n"/>
      <c r="BH135" s="6" t="n"/>
      <c r="BI135" s="64" t="n"/>
      <c r="BJ135" s="5" t="n"/>
      <c r="BK135" s="42" t="n"/>
    </row>
    <row r="136" ht="20" customHeight="1">
      <c r="A136" s="65" t="n"/>
      <c r="B136" s="6" t="n"/>
      <c r="C136" s="66" t="n"/>
      <c r="D136" s="5" t="n"/>
      <c r="E136" s="5" t="n"/>
      <c r="F136" s="6" t="n"/>
      <c r="G136" s="66" t="n"/>
      <c r="H136" s="5" t="n"/>
      <c r="I136" s="6" t="n"/>
      <c r="J136" s="66" t="n"/>
      <c r="K136" s="5" t="n"/>
      <c r="L136" s="6" t="n"/>
      <c r="M136" s="66" t="n"/>
      <c r="N136" s="5" t="n"/>
      <c r="O136" s="5" t="n"/>
      <c r="P136" s="5" t="n"/>
      <c r="Q136" s="6" t="n"/>
      <c r="R136" s="66" t="n"/>
      <c r="S136" s="5" t="n"/>
      <c r="T136" s="5" t="n"/>
      <c r="U136" s="5" t="n"/>
      <c r="V136" s="5" t="n"/>
      <c r="W136" s="5" t="n"/>
      <c r="X136" s="6" t="n"/>
      <c r="Y136" s="66" t="n"/>
      <c r="Z136" s="5" t="n"/>
      <c r="AA136" s="5" t="n"/>
      <c r="AB136" s="5" t="n"/>
      <c r="AC136" s="5" t="n"/>
      <c r="AD136" s="6" t="n"/>
      <c r="AE136" s="67" t="n"/>
      <c r="AF136" s="6" t="n"/>
      <c r="AG136" s="67" t="n"/>
      <c r="AH136" s="6" t="n"/>
      <c r="AI136" s="67" t="n"/>
      <c r="AJ136" s="6" t="n"/>
      <c r="AK136" s="67" t="n"/>
      <c r="AL136" s="6" t="n"/>
      <c r="AM136" s="67" t="n"/>
      <c r="AN136" s="5" t="n"/>
      <c r="AO136" s="6" t="n"/>
      <c r="AP136" s="67" t="n"/>
      <c r="AQ136" s="6" t="n"/>
      <c r="AR136" s="66" t="n"/>
      <c r="AS136" s="5" t="n"/>
      <c r="AT136" s="6" t="n"/>
      <c r="AU136" s="67" t="n"/>
      <c r="AV136" s="6" t="n"/>
      <c r="AW136" s="67" t="n"/>
      <c r="AX136" s="6" t="n"/>
      <c r="AY136" s="67" t="n"/>
      <c r="AZ136" s="6" t="n"/>
      <c r="BA136" s="67" t="n"/>
      <c r="BB136" s="5" t="n"/>
      <c r="BC136" s="6" t="n"/>
      <c r="BD136" s="67" t="n"/>
      <c r="BE136" s="6" t="n"/>
      <c r="BF136" s="66" t="n"/>
      <c r="BG136" s="5" t="n"/>
      <c r="BH136" s="6" t="n"/>
      <c r="BI136" s="68" t="n"/>
      <c r="BJ136" s="5" t="n"/>
      <c r="BK136" s="42" t="n"/>
    </row>
    <row r="137" ht="20" customHeight="1">
      <c r="A137" s="61" t="n"/>
      <c r="B137" s="6" t="n"/>
      <c r="C137" s="62" t="n"/>
      <c r="D137" s="5" t="n"/>
      <c r="E137" s="5" t="n"/>
      <c r="F137" s="6" t="n"/>
      <c r="G137" s="62" t="n"/>
      <c r="H137" s="5" t="n"/>
      <c r="I137" s="6" t="n"/>
      <c r="J137" s="62" t="n"/>
      <c r="K137" s="5" t="n"/>
      <c r="L137" s="6" t="n"/>
      <c r="M137" s="62" t="n"/>
      <c r="N137" s="5" t="n"/>
      <c r="O137" s="5" t="n"/>
      <c r="P137" s="5" t="n"/>
      <c r="Q137" s="6" t="n"/>
      <c r="R137" s="62" t="n"/>
      <c r="S137" s="5" t="n"/>
      <c r="T137" s="5" t="n"/>
      <c r="U137" s="5" t="n"/>
      <c r="V137" s="5" t="n"/>
      <c r="W137" s="5" t="n"/>
      <c r="X137" s="6" t="n"/>
      <c r="Y137" s="62" t="n"/>
      <c r="Z137" s="5" t="n"/>
      <c r="AA137" s="5" t="n"/>
      <c r="AB137" s="5" t="n"/>
      <c r="AC137" s="5" t="n"/>
      <c r="AD137" s="6" t="n"/>
      <c r="AE137" s="63" t="n"/>
      <c r="AF137" s="6" t="n"/>
      <c r="AG137" s="63" t="n"/>
      <c r="AH137" s="6" t="n"/>
      <c r="AI137" s="63" t="n"/>
      <c r="AJ137" s="6" t="n"/>
      <c r="AK137" s="63" t="n"/>
      <c r="AL137" s="6" t="n"/>
      <c r="AM137" s="63" t="n"/>
      <c r="AN137" s="5" t="n"/>
      <c r="AO137" s="6" t="n"/>
      <c r="AP137" s="63" t="n"/>
      <c r="AQ137" s="6" t="n"/>
      <c r="AR137" s="62" t="n"/>
      <c r="AS137" s="5" t="n"/>
      <c r="AT137" s="6" t="n"/>
      <c r="AU137" s="63" t="n"/>
      <c r="AV137" s="6" t="n"/>
      <c r="AW137" s="63" t="n"/>
      <c r="AX137" s="6" t="n"/>
      <c r="AY137" s="63" t="n"/>
      <c r="AZ137" s="6" t="n"/>
      <c r="BA137" s="63" t="n"/>
      <c r="BB137" s="5" t="n"/>
      <c r="BC137" s="6" t="n"/>
      <c r="BD137" s="63" t="n"/>
      <c r="BE137" s="6" t="n"/>
      <c r="BF137" s="62" t="n"/>
      <c r="BG137" s="5" t="n"/>
      <c r="BH137" s="6" t="n"/>
      <c r="BI137" s="64" t="n"/>
      <c r="BJ137" s="5" t="n"/>
      <c r="BK137" s="42" t="n"/>
    </row>
    <row r="138" ht="20" customHeight="1">
      <c r="A138" s="65" t="n"/>
      <c r="B138" s="6" t="n"/>
      <c r="C138" s="66" t="n"/>
      <c r="D138" s="5" t="n"/>
      <c r="E138" s="5" t="n"/>
      <c r="F138" s="6" t="n"/>
      <c r="G138" s="66" t="n"/>
      <c r="H138" s="5" t="n"/>
      <c r="I138" s="6" t="n"/>
      <c r="J138" s="66" t="n"/>
      <c r="K138" s="5" t="n"/>
      <c r="L138" s="6" t="n"/>
      <c r="M138" s="66" t="n"/>
      <c r="N138" s="5" t="n"/>
      <c r="O138" s="5" t="n"/>
      <c r="P138" s="5" t="n"/>
      <c r="Q138" s="6" t="n"/>
      <c r="R138" s="66" t="n"/>
      <c r="S138" s="5" t="n"/>
      <c r="T138" s="5" t="n"/>
      <c r="U138" s="5" t="n"/>
      <c r="V138" s="5" t="n"/>
      <c r="W138" s="5" t="n"/>
      <c r="X138" s="6" t="n"/>
      <c r="Y138" s="66" t="n"/>
      <c r="Z138" s="5" t="n"/>
      <c r="AA138" s="5" t="n"/>
      <c r="AB138" s="5" t="n"/>
      <c r="AC138" s="5" t="n"/>
      <c r="AD138" s="6" t="n"/>
      <c r="AE138" s="67" t="n"/>
      <c r="AF138" s="6" t="n"/>
      <c r="AG138" s="67" t="n"/>
      <c r="AH138" s="6" t="n"/>
      <c r="AI138" s="67" t="n"/>
      <c r="AJ138" s="6" t="n"/>
      <c r="AK138" s="67" t="n"/>
      <c r="AL138" s="6" t="n"/>
      <c r="AM138" s="67" t="n"/>
      <c r="AN138" s="5" t="n"/>
      <c r="AO138" s="6" t="n"/>
      <c r="AP138" s="67" t="n"/>
      <c r="AQ138" s="6" t="n"/>
      <c r="AR138" s="66" t="n"/>
      <c r="AS138" s="5" t="n"/>
      <c r="AT138" s="6" t="n"/>
      <c r="AU138" s="67" t="n"/>
      <c r="AV138" s="6" t="n"/>
      <c r="AW138" s="67" t="n"/>
      <c r="AX138" s="6" t="n"/>
      <c r="AY138" s="67" t="n"/>
      <c r="AZ138" s="6" t="n"/>
      <c r="BA138" s="67" t="n"/>
      <c r="BB138" s="5" t="n"/>
      <c r="BC138" s="6" t="n"/>
      <c r="BD138" s="67" t="n"/>
      <c r="BE138" s="6" t="n"/>
      <c r="BF138" s="66" t="n"/>
      <c r="BG138" s="5" t="n"/>
      <c r="BH138" s="6" t="n"/>
      <c r="BI138" s="68" t="n"/>
      <c r="BJ138" s="5" t="n"/>
      <c r="BK138" s="42" t="n"/>
    </row>
    <row r="139" ht="20" customHeight="1">
      <c r="A139" s="61" t="n"/>
      <c r="B139" s="6" t="n"/>
      <c r="C139" s="62" t="n"/>
      <c r="D139" s="5" t="n"/>
      <c r="E139" s="5" t="n"/>
      <c r="F139" s="6" t="n"/>
      <c r="G139" s="62" t="n"/>
      <c r="H139" s="5" t="n"/>
      <c r="I139" s="6" t="n"/>
      <c r="J139" s="62" t="n"/>
      <c r="K139" s="5" t="n"/>
      <c r="L139" s="6" t="n"/>
      <c r="M139" s="62" t="n"/>
      <c r="N139" s="5" t="n"/>
      <c r="O139" s="5" t="n"/>
      <c r="P139" s="5" t="n"/>
      <c r="Q139" s="6" t="n"/>
      <c r="R139" s="62" t="n"/>
      <c r="S139" s="5" t="n"/>
      <c r="T139" s="5" t="n"/>
      <c r="U139" s="5" t="n"/>
      <c r="V139" s="5" t="n"/>
      <c r="W139" s="5" t="n"/>
      <c r="X139" s="6" t="n"/>
      <c r="Y139" s="62" t="n"/>
      <c r="Z139" s="5" t="n"/>
      <c r="AA139" s="5" t="n"/>
      <c r="AB139" s="5" t="n"/>
      <c r="AC139" s="5" t="n"/>
      <c r="AD139" s="6" t="n"/>
      <c r="AE139" s="63" t="n"/>
      <c r="AF139" s="6" t="n"/>
      <c r="AG139" s="63" t="n"/>
      <c r="AH139" s="6" t="n"/>
      <c r="AI139" s="63" t="n"/>
      <c r="AJ139" s="6" t="n"/>
      <c r="AK139" s="63" t="n"/>
      <c r="AL139" s="6" t="n"/>
      <c r="AM139" s="63" t="n"/>
      <c r="AN139" s="5" t="n"/>
      <c r="AO139" s="6" t="n"/>
      <c r="AP139" s="63" t="n"/>
      <c r="AQ139" s="6" t="n"/>
      <c r="AR139" s="62" t="n"/>
      <c r="AS139" s="5" t="n"/>
      <c r="AT139" s="6" t="n"/>
      <c r="AU139" s="63" t="n"/>
      <c r="AV139" s="6" t="n"/>
      <c r="AW139" s="63" t="n"/>
      <c r="AX139" s="6" t="n"/>
      <c r="AY139" s="63" t="n"/>
      <c r="AZ139" s="6" t="n"/>
      <c r="BA139" s="63" t="n"/>
      <c r="BB139" s="5" t="n"/>
      <c r="BC139" s="6" t="n"/>
      <c r="BD139" s="63" t="n"/>
      <c r="BE139" s="6" t="n"/>
      <c r="BF139" s="62" t="n"/>
      <c r="BG139" s="5" t="n"/>
      <c r="BH139" s="6" t="n"/>
      <c r="BI139" s="64" t="n"/>
      <c r="BJ139" s="5" t="n"/>
      <c r="BK139" s="42" t="n"/>
    </row>
    <row r="140" ht="20" customHeight="1">
      <c r="A140" s="65" t="n"/>
      <c r="B140" s="6" t="n"/>
      <c r="C140" s="66" t="n"/>
      <c r="D140" s="5" t="n"/>
      <c r="E140" s="5" t="n"/>
      <c r="F140" s="6" t="n"/>
      <c r="G140" s="66" t="n"/>
      <c r="H140" s="5" t="n"/>
      <c r="I140" s="6" t="n"/>
      <c r="J140" s="66" t="n"/>
      <c r="K140" s="5" t="n"/>
      <c r="L140" s="6" t="n"/>
      <c r="M140" s="66" t="n"/>
      <c r="N140" s="5" t="n"/>
      <c r="O140" s="5" t="n"/>
      <c r="P140" s="5" t="n"/>
      <c r="Q140" s="6" t="n"/>
      <c r="R140" s="66" t="n"/>
      <c r="S140" s="5" t="n"/>
      <c r="T140" s="5" t="n"/>
      <c r="U140" s="5" t="n"/>
      <c r="V140" s="5" t="n"/>
      <c r="W140" s="5" t="n"/>
      <c r="X140" s="6" t="n"/>
      <c r="Y140" s="66" t="n"/>
      <c r="Z140" s="5" t="n"/>
      <c r="AA140" s="5" t="n"/>
      <c r="AB140" s="5" t="n"/>
      <c r="AC140" s="5" t="n"/>
      <c r="AD140" s="6" t="n"/>
      <c r="AE140" s="67" t="n"/>
      <c r="AF140" s="6" t="n"/>
      <c r="AG140" s="67" t="n"/>
      <c r="AH140" s="6" t="n"/>
      <c r="AI140" s="67" t="n"/>
      <c r="AJ140" s="6" t="n"/>
      <c r="AK140" s="67" t="n"/>
      <c r="AL140" s="6" t="n"/>
      <c r="AM140" s="67" t="n"/>
      <c r="AN140" s="5" t="n"/>
      <c r="AO140" s="6" t="n"/>
      <c r="AP140" s="67" t="n"/>
      <c r="AQ140" s="6" t="n"/>
      <c r="AR140" s="66" t="n"/>
      <c r="AS140" s="5" t="n"/>
      <c r="AT140" s="6" t="n"/>
      <c r="AU140" s="67" t="n"/>
      <c r="AV140" s="6" t="n"/>
      <c r="AW140" s="67" t="n"/>
      <c r="AX140" s="6" t="n"/>
      <c r="AY140" s="67" t="n"/>
      <c r="AZ140" s="6" t="n"/>
      <c r="BA140" s="67" t="n"/>
      <c r="BB140" s="5" t="n"/>
      <c r="BC140" s="6" t="n"/>
      <c r="BD140" s="67" t="n"/>
      <c r="BE140" s="6" t="n"/>
      <c r="BF140" s="66" t="n"/>
      <c r="BG140" s="5" t="n"/>
      <c r="BH140" s="6" t="n"/>
      <c r="BI140" s="68" t="n"/>
      <c r="BJ140" s="5" t="n"/>
      <c r="BK140" s="42" t="n"/>
    </row>
    <row r="141" ht="20" customHeight="1">
      <c r="A141" s="61" t="n"/>
      <c r="B141" s="6" t="n"/>
      <c r="C141" s="62" t="n"/>
      <c r="D141" s="5" t="n"/>
      <c r="E141" s="5" t="n"/>
      <c r="F141" s="6" t="n"/>
      <c r="G141" s="62" t="n"/>
      <c r="H141" s="5" t="n"/>
      <c r="I141" s="6" t="n"/>
      <c r="J141" s="62" t="n"/>
      <c r="K141" s="5" t="n"/>
      <c r="L141" s="6" t="n"/>
      <c r="M141" s="62" t="n"/>
      <c r="N141" s="5" t="n"/>
      <c r="O141" s="5" t="n"/>
      <c r="P141" s="5" t="n"/>
      <c r="Q141" s="6" t="n"/>
      <c r="R141" s="62" t="n"/>
      <c r="S141" s="5" t="n"/>
      <c r="T141" s="5" t="n"/>
      <c r="U141" s="5" t="n"/>
      <c r="V141" s="5" t="n"/>
      <c r="W141" s="5" t="n"/>
      <c r="X141" s="6" t="n"/>
      <c r="Y141" s="62" t="n"/>
      <c r="Z141" s="5" t="n"/>
      <c r="AA141" s="5" t="n"/>
      <c r="AB141" s="5" t="n"/>
      <c r="AC141" s="5" t="n"/>
      <c r="AD141" s="6" t="n"/>
      <c r="AE141" s="63" t="n"/>
      <c r="AF141" s="6" t="n"/>
      <c r="AG141" s="63" t="n"/>
      <c r="AH141" s="6" t="n"/>
      <c r="AI141" s="63" t="n"/>
      <c r="AJ141" s="6" t="n"/>
      <c r="AK141" s="63" t="n"/>
      <c r="AL141" s="6" t="n"/>
      <c r="AM141" s="63" t="n"/>
      <c r="AN141" s="5" t="n"/>
      <c r="AO141" s="6" t="n"/>
      <c r="AP141" s="63" t="n"/>
      <c r="AQ141" s="6" t="n"/>
      <c r="AR141" s="62" t="n"/>
      <c r="AS141" s="5" t="n"/>
      <c r="AT141" s="6" t="n"/>
      <c r="AU141" s="63" t="n"/>
      <c r="AV141" s="6" t="n"/>
      <c r="AW141" s="63" t="n"/>
      <c r="AX141" s="6" t="n"/>
      <c r="AY141" s="63" t="n"/>
      <c r="AZ141" s="6" t="n"/>
      <c r="BA141" s="63" t="n"/>
      <c r="BB141" s="5" t="n"/>
      <c r="BC141" s="6" t="n"/>
      <c r="BD141" s="63" t="n"/>
      <c r="BE141" s="6" t="n"/>
      <c r="BF141" s="62" t="n"/>
      <c r="BG141" s="5" t="n"/>
      <c r="BH141" s="6" t="n"/>
      <c r="BI141" s="64" t="n"/>
      <c r="BJ141" s="5" t="n"/>
      <c r="BK141" s="42" t="n"/>
    </row>
    <row r="142" ht="20" customHeight="1">
      <c r="A142" s="65" t="n"/>
      <c r="B142" s="6" t="n"/>
      <c r="C142" s="66" t="n"/>
      <c r="D142" s="5" t="n"/>
      <c r="E142" s="5" t="n"/>
      <c r="F142" s="6" t="n"/>
      <c r="G142" s="66" t="n"/>
      <c r="H142" s="5" t="n"/>
      <c r="I142" s="6" t="n"/>
      <c r="J142" s="66" t="n"/>
      <c r="K142" s="5" t="n"/>
      <c r="L142" s="6" t="n"/>
      <c r="M142" s="66" t="n"/>
      <c r="N142" s="5" t="n"/>
      <c r="O142" s="5" t="n"/>
      <c r="P142" s="5" t="n"/>
      <c r="Q142" s="6" t="n"/>
      <c r="R142" s="66" t="n"/>
      <c r="S142" s="5" t="n"/>
      <c r="T142" s="5" t="n"/>
      <c r="U142" s="5" t="n"/>
      <c r="V142" s="5" t="n"/>
      <c r="W142" s="5" t="n"/>
      <c r="X142" s="6" t="n"/>
      <c r="Y142" s="66" t="n"/>
      <c r="Z142" s="5" t="n"/>
      <c r="AA142" s="5" t="n"/>
      <c r="AB142" s="5" t="n"/>
      <c r="AC142" s="5" t="n"/>
      <c r="AD142" s="6" t="n"/>
      <c r="AE142" s="67" t="n"/>
      <c r="AF142" s="6" t="n"/>
      <c r="AG142" s="67" t="n"/>
      <c r="AH142" s="6" t="n"/>
      <c r="AI142" s="67" t="n"/>
      <c r="AJ142" s="6" t="n"/>
      <c r="AK142" s="67" t="n"/>
      <c r="AL142" s="6" t="n"/>
      <c r="AM142" s="67" t="n"/>
      <c r="AN142" s="5" t="n"/>
      <c r="AO142" s="6" t="n"/>
      <c r="AP142" s="67" t="n"/>
      <c r="AQ142" s="6" t="n"/>
      <c r="AR142" s="66" t="n"/>
      <c r="AS142" s="5" t="n"/>
      <c r="AT142" s="6" t="n"/>
      <c r="AU142" s="67" t="n"/>
      <c r="AV142" s="6" t="n"/>
      <c r="AW142" s="67" t="n"/>
      <c r="AX142" s="6" t="n"/>
      <c r="AY142" s="67" t="n"/>
      <c r="AZ142" s="6" t="n"/>
      <c r="BA142" s="67" t="n"/>
      <c r="BB142" s="5" t="n"/>
      <c r="BC142" s="6" t="n"/>
      <c r="BD142" s="67" t="n"/>
      <c r="BE142" s="6" t="n"/>
      <c r="BF142" s="66" t="n"/>
      <c r="BG142" s="5" t="n"/>
      <c r="BH142" s="6" t="n"/>
      <c r="BI142" s="68" t="n"/>
      <c r="BJ142" s="5" t="n"/>
      <c r="BK142" s="42" t="n"/>
    </row>
    <row r="143" ht="20" customHeight="1">
      <c r="A143" s="61" t="n"/>
      <c r="B143" s="6" t="n"/>
      <c r="C143" s="62" t="n"/>
      <c r="D143" s="5" t="n"/>
      <c r="E143" s="5" t="n"/>
      <c r="F143" s="6" t="n"/>
      <c r="G143" s="62" t="n"/>
      <c r="H143" s="5" t="n"/>
      <c r="I143" s="6" t="n"/>
      <c r="J143" s="62" t="n"/>
      <c r="K143" s="5" t="n"/>
      <c r="L143" s="6" t="n"/>
      <c r="M143" s="62" t="n"/>
      <c r="N143" s="5" t="n"/>
      <c r="O143" s="5" t="n"/>
      <c r="P143" s="5" t="n"/>
      <c r="Q143" s="6" t="n"/>
      <c r="R143" s="62" t="n"/>
      <c r="S143" s="5" t="n"/>
      <c r="T143" s="5" t="n"/>
      <c r="U143" s="5" t="n"/>
      <c r="V143" s="5" t="n"/>
      <c r="W143" s="5" t="n"/>
      <c r="X143" s="6" t="n"/>
      <c r="Y143" s="62" t="n"/>
      <c r="Z143" s="5" t="n"/>
      <c r="AA143" s="5" t="n"/>
      <c r="AB143" s="5" t="n"/>
      <c r="AC143" s="5" t="n"/>
      <c r="AD143" s="6" t="n"/>
      <c r="AE143" s="63" t="n"/>
      <c r="AF143" s="6" t="n"/>
      <c r="AG143" s="63" t="n"/>
      <c r="AH143" s="6" t="n"/>
      <c r="AI143" s="63" t="n"/>
      <c r="AJ143" s="6" t="n"/>
      <c r="AK143" s="63" t="n"/>
      <c r="AL143" s="6" t="n"/>
      <c r="AM143" s="63" t="n"/>
      <c r="AN143" s="5" t="n"/>
      <c r="AO143" s="6" t="n"/>
      <c r="AP143" s="63" t="n"/>
      <c r="AQ143" s="6" t="n"/>
      <c r="AR143" s="62" t="n"/>
      <c r="AS143" s="5" t="n"/>
      <c r="AT143" s="6" t="n"/>
      <c r="AU143" s="63" t="n"/>
      <c r="AV143" s="6" t="n"/>
      <c r="AW143" s="63" t="n"/>
      <c r="AX143" s="6" t="n"/>
      <c r="AY143" s="63" t="n"/>
      <c r="AZ143" s="6" t="n"/>
      <c r="BA143" s="63" t="n"/>
      <c r="BB143" s="5" t="n"/>
      <c r="BC143" s="6" t="n"/>
      <c r="BD143" s="63" t="n"/>
      <c r="BE143" s="6" t="n"/>
      <c r="BF143" s="62" t="n"/>
      <c r="BG143" s="5" t="n"/>
      <c r="BH143" s="6" t="n"/>
      <c r="BI143" s="64" t="n"/>
      <c r="BJ143" s="5" t="n"/>
      <c r="BK143" s="42" t="n"/>
    </row>
    <row r="144" ht="20" customHeight="1">
      <c r="A144" s="65" t="n"/>
      <c r="B144" s="6" t="n"/>
      <c r="C144" s="66" t="n"/>
      <c r="D144" s="5" t="n"/>
      <c r="E144" s="5" t="n"/>
      <c r="F144" s="6" t="n"/>
      <c r="G144" s="66" t="n"/>
      <c r="H144" s="5" t="n"/>
      <c r="I144" s="6" t="n"/>
      <c r="J144" s="66" t="n"/>
      <c r="K144" s="5" t="n"/>
      <c r="L144" s="6" t="n"/>
      <c r="M144" s="66" t="n"/>
      <c r="N144" s="5" t="n"/>
      <c r="O144" s="5" t="n"/>
      <c r="P144" s="5" t="n"/>
      <c r="Q144" s="6" t="n"/>
      <c r="R144" s="66" t="n"/>
      <c r="S144" s="5" t="n"/>
      <c r="T144" s="5" t="n"/>
      <c r="U144" s="5" t="n"/>
      <c r="V144" s="5" t="n"/>
      <c r="W144" s="5" t="n"/>
      <c r="X144" s="6" t="n"/>
      <c r="Y144" s="66" t="n"/>
      <c r="Z144" s="5" t="n"/>
      <c r="AA144" s="5" t="n"/>
      <c r="AB144" s="5" t="n"/>
      <c r="AC144" s="5" t="n"/>
      <c r="AD144" s="6" t="n"/>
      <c r="AE144" s="67" t="n"/>
      <c r="AF144" s="6" t="n"/>
      <c r="AG144" s="67" t="n"/>
      <c r="AH144" s="6" t="n"/>
      <c r="AI144" s="67" t="n"/>
      <c r="AJ144" s="6" t="n"/>
      <c r="AK144" s="67" t="n"/>
      <c r="AL144" s="6" t="n"/>
      <c r="AM144" s="67" t="n"/>
      <c r="AN144" s="5" t="n"/>
      <c r="AO144" s="6" t="n"/>
      <c r="AP144" s="67" t="n"/>
      <c r="AQ144" s="6" t="n"/>
      <c r="AR144" s="66" t="n"/>
      <c r="AS144" s="5" t="n"/>
      <c r="AT144" s="6" t="n"/>
      <c r="AU144" s="67" t="n"/>
      <c r="AV144" s="6" t="n"/>
      <c r="AW144" s="67" t="n"/>
      <c r="AX144" s="6" t="n"/>
      <c r="AY144" s="67" t="n"/>
      <c r="AZ144" s="6" t="n"/>
      <c r="BA144" s="67" t="n"/>
      <c r="BB144" s="5" t="n"/>
      <c r="BC144" s="6" t="n"/>
      <c r="BD144" s="67" t="n"/>
      <c r="BE144" s="6" t="n"/>
      <c r="BF144" s="66" t="n"/>
      <c r="BG144" s="5" t="n"/>
      <c r="BH144" s="6" t="n"/>
      <c r="BI144" s="68" t="n"/>
      <c r="BJ144" s="5" t="n"/>
      <c r="BK144" s="42" t="n"/>
    </row>
    <row r="145" ht="20" customHeight="1">
      <c r="A145" s="61" t="n"/>
      <c r="B145" s="6" t="n"/>
      <c r="C145" s="62" t="n"/>
      <c r="D145" s="5" t="n"/>
      <c r="E145" s="5" t="n"/>
      <c r="F145" s="6" t="n"/>
      <c r="G145" s="62" t="n"/>
      <c r="H145" s="5" t="n"/>
      <c r="I145" s="6" t="n"/>
      <c r="J145" s="62" t="n"/>
      <c r="K145" s="5" t="n"/>
      <c r="L145" s="6" t="n"/>
      <c r="M145" s="62" t="n"/>
      <c r="N145" s="5" t="n"/>
      <c r="O145" s="5" t="n"/>
      <c r="P145" s="5" t="n"/>
      <c r="Q145" s="6" t="n"/>
      <c r="R145" s="62" t="n"/>
      <c r="S145" s="5" t="n"/>
      <c r="T145" s="5" t="n"/>
      <c r="U145" s="5" t="n"/>
      <c r="V145" s="5" t="n"/>
      <c r="W145" s="5" t="n"/>
      <c r="X145" s="6" t="n"/>
      <c r="Y145" s="62" t="n"/>
      <c r="Z145" s="5" t="n"/>
      <c r="AA145" s="5" t="n"/>
      <c r="AB145" s="5" t="n"/>
      <c r="AC145" s="5" t="n"/>
      <c r="AD145" s="6" t="n"/>
      <c r="AE145" s="63" t="n"/>
      <c r="AF145" s="6" t="n"/>
      <c r="AG145" s="63" t="n"/>
      <c r="AH145" s="6" t="n"/>
      <c r="AI145" s="63" t="n"/>
      <c r="AJ145" s="6" t="n"/>
      <c r="AK145" s="63" t="n"/>
      <c r="AL145" s="6" t="n"/>
      <c r="AM145" s="63" t="n"/>
      <c r="AN145" s="5" t="n"/>
      <c r="AO145" s="6" t="n"/>
      <c r="AP145" s="63" t="n"/>
      <c r="AQ145" s="6" t="n"/>
      <c r="AR145" s="62" t="n"/>
      <c r="AS145" s="5" t="n"/>
      <c r="AT145" s="6" t="n"/>
      <c r="AU145" s="63" t="n"/>
      <c r="AV145" s="6" t="n"/>
      <c r="AW145" s="63" t="n"/>
      <c r="AX145" s="6" t="n"/>
      <c r="AY145" s="63" t="n"/>
      <c r="AZ145" s="6" t="n"/>
      <c r="BA145" s="63" t="n"/>
      <c r="BB145" s="5" t="n"/>
      <c r="BC145" s="6" t="n"/>
      <c r="BD145" s="63" t="n"/>
      <c r="BE145" s="6" t="n"/>
      <c r="BF145" s="62" t="n"/>
      <c r="BG145" s="5" t="n"/>
      <c r="BH145" s="6" t="n"/>
      <c r="BI145" s="64" t="n"/>
      <c r="BJ145" s="5" t="n"/>
      <c r="BK145" s="42" t="n"/>
    </row>
    <row r="146" ht="20" customHeight="1">
      <c r="A146" s="65" t="n"/>
      <c r="B146" s="6" t="n"/>
      <c r="C146" s="66" t="n"/>
      <c r="D146" s="5" t="n"/>
      <c r="E146" s="5" t="n"/>
      <c r="F146" s="6" t="n"/>
      <c r="G146" s="66" t="n"/>
      <c r="H146" s="5" t="n"/>
      <c r="I146" s="6" t="n"/>
      <c r="J146" s="66" t="n"/>
      <c r="K146" s="5" t="n"/>
      <c r="L146" s="6" t="n"/>
      <c r="M146" s="66" t="n"/>
      <c r="N146" s="5" t="n"/>
      <c r="O146" s="5" t="n"/>
      <c r="P146" s="5" t="n"/>
      <c r="Q146" s="6" t="n"/>
      <c r="R146" s="66" t="n"/>
      <c r="S146" s="5" t="n"/>
      <c r="T146" s="5" t="n"/>
      <c r="U146" s="5" t="n"/>
      <c r="V146" s="5" t="n"/>
      <c r="W146" s="5" t="n"/>
      <c r="X146" s="6" t="n"/>
      <c r="Y146" s="66" t="n"/>
      <c r="Z146" s="5" t="n"/>
      <c r="AA146" s="5" t="n"/>
      <c r="AB146" s="5" t="n"/>
      <c r="AC146" s="5" t="n"/>
      <c r="AD146" s="6" t="n"/>
      <c r="AE146" s="67" t="n"/>
      <c r="AF146" s="6" t="n"/>
      <c r="AG146" s="67" t="n"/>
      <c r="AH146" s="6" t="n"/>
      <c r="AI146" s="67" t="n"/>
      <c r="AJ146" s="6" t="n"/>
      <c r="AK146" s="67" t="n"/>
      <c r="AL146" s="6" t="n"/>
      <c r="AM146" s="67" t="n"/>
      <c r="AN146" s="5" t="n"/>
      <c r="AO146" s="6" t="n"/>
      <c r="AP146" s="67" t="n"/>
      <c r="AQ146" s="6" t="n"/>
      <c r="AR146" s="66" t="n"/>
      <c r="AS146" s="5" t="n"/>
      <c r="AT146" s="6" t="n"/>
      <c r="AU146" s="67" t="n"/>
      <c r="AV146" s="6" t="n"/>
      <c r="AW146" s="67" t="n"/>
      <c r="AX146" s="6" t="n"/>
      <c r="AY146" s="67" t="n"/>
      <c r="AZ146" s="6" t="n"/>
      <c r="BA146" s="67" t="n"/>
      <c r="BB146" s="5" t="n"/>
      <c r="BC146" s="6" t="n"/>
      <c r="BD146" s="67" t="n"/>
      <c r="BE146" s="6" t="n"/>
      <c r="BF146" s="66" t="n"/>
      <c r="BG146" s="5" t="n"/>
      <c r="BH146" s="6" t="n"/>
      <c r="BI146" s="68" t="n"/>
      <c r="BJ146" s="5" t="n"/>
      <c r="BK146" s="42" t="n"/>
    </row>
    <row r="147" ht="20" customHeight="1">
      <c r="A147" s="61" t="n"/>
      <c r="B147" s="6" t="n"/>
      <c r="C147" s="62" t="n"/>
      <c r="D147" s="5" t="n"/>
      <c r="E147" s="5" t="n"/>
      <c r="F147" s="6" t="n"/>
      <c r="G147" s="62" t="n"/>
      <c r="H147" s="5" t="n"/>
      <c r="I147" s="6" t="n"/>
      <c r="J147" s="62" t="n"/>
      <c r="K147" s="5" t="n"/>
      <c r="L147" s="6" t="n"/>
      <c r="M147" s="62" t="n"/>
      <c r="N147" s="5" t="n"/>
      <c r="O147" s="5" t="n"/>
      <c r="P147" s="5" t="n"/>
      <c r="Q147" s="6" t="n"/>
      <c r="R147" s="62" t="n"/>
      <c r="S147" s="5" t="n"/>
      <c r="T147" s="5" t="n"/>
      <c r="U147" s="5" t="n"/>
      <c r="V147" s="5" t="n"/>
      <c r="W147" s="5" t="n"/>
      <c r="X147" s="6" t="n"/>
      <c r="Y147" s="62" t="n"/>
      <c r="Z147" s="5" t="n"/>
      <c r="AA147" s="5" t="n"/>
      <c r="AB147" s="5" t="n"/>
      <c r="AC147" s="5" t="n"/>
      <c r="AD147" s="6" t="n"/>
      <c r="AE147" s="63" t="n"/>
      <c r="AF147" s="6" t="n"/>
      <c r="AG147" s="63" t="n"/>
      <c r="AH147" s="6" t="n"/>
      <c r="AI147" s="63" t="n"/>
      <c r="AJ147" s="6" t="n"/>
      <c r="AK147" s="63" t="n"/>
      <c r="AL147" s="6" t="n"/>
      <c r="AM147" s="63" t="n"/>
      <c r="AN147" s="5" t="n"/>
      <c r="AO147" s="6" t="n"/>
      <c r="AP147" s="63" t="n"/>
      <c r="AQ147" s="6" t="n"/>
      <c r="AR147" s="62" t="n"/>
      <c r="AS147" s="5" t="n"/>
      <c r="AT147" s="6" t="n"/>
      <c r="AU147" s="63" t="n"/>
      <c r="AV147" s="6" t="n"/>
      <c r="AW147" s="63" t="n"/>
      <c r="AX147" s="6" t="n"/>
      <c r="AY147" s="63" t="n"/>
      <c r="AZ147" s="6" t="n"/>
      <c r="BA147" s="63" t="n"/>
      <c r="BB147" s="5" t="n"/>
      <c r="BC147" s="6" t="n"/>
      <c r="BD147" s="63" t="n"/>
      <c r="BE147" s="6" t="n"/>
      <c r="BF147" s="62" t="n"/>
      <c r="BG147" s="5" t="n"/>
      <c r="BH147" s="6" t="n"/>
      <c r="BI147" s="64" t="n"/>
      <c r="BJ147" s="5" t="n"/>
      <c r="BK147" s="42" t="n"/>
    </row>
    <row r="148" ht="20" customHeight="1">
      <c r="A148" s="65" t="n"/>
      <c r="B148" s="6" t="n"/>
      <c r="C148" s="66" t="n"/>
      <c r="D148" s="5" t="n"/>
      <c r="E148" s="5" t="n"/>
      <c r="F148" s="6" t="n"/>
      <c r="G148" s="66" t="n"/>
      <c r="H148" s="5" t="n"/>
      <c r="I148" s="6" t="n"/>
      <c r="J148" s="66" t="n"/>
      <c r="K148" s="5" t="n"/>
      <c r="L148" s="6" t="n"/>
      <c r="M148" s="66" t="n"/>
      <c r="N148" s="5" t="n"/>
      <c r="O148" s="5" t="n"/>
      <c r="P148" s="5" t="n"/>
      <c r="Q148" s="6" t="n"/>
      <c r="R148" s="66" t="n"/>
      <c r="S148" s="5" t="n"/>
      <c r="T148" s="5" t="n"/>
      <c r="U148" s="5" t="n"/>
      <c r="V148" s="5" t="n"/>
      <c r="W148" s="5" t="n"/>
      <c r="X148" s="6" t="n"/>
      <c r="Y148" s="66" t="n"/>
      <c r="Z148" s="5" t="n"/>
      <c r="AA148" s="5" t="n"/>
      <c r="AB148" s="5" t="n"/>
      <c r="AC148" s="5" t="n"/>
      <c r="AD148" s="6" t="n"/>
      <c r="AE148" s="67" t="n"/>
      <c r="AF148" s="6" t="n"/>
      <c r="AG148" s="67" t="n"/>
      <c r="AH148" s="6" t="n"/>
      <c r="AI148" s="67" t="n"/>
      <c r="AJ148" s="6" t="n"/>
      <c r="AK148" s="67" t="n"/>
      <c r="AL148" s="6" t="n"/>
      <c r="AM148" s="67" t="n"/>
      <c r="AN148" s="5" t="n"/>
      <c r="AO148" s="6" t="n"/>
      <c r="AP148" s="67" t="n"/>
      <c r="AQ148" s="6" t="n"/>
      <c r="AR148" s="66" t="n"/>
      <c r="AS148" s="5" t="n"/>
      <c r="AT148" s="6" t="n"/>
      <c r="AU148" s="67" t="n"/>
      <c r="AV148" s="6" t="n"/>
      <c r="AW148" s="67" t="n"/>
      <c r="AX148" s="6" t="n"/>
      <c r="AY148" s="67" t="n"/>
      <c r="AZ148" s="6" t="n"/>
      <c r="BA148" s="67" t="n"/>
      <c r="BB148" s="5" t="n"/>
      <c r="BC148" s="6" t="n"/>
      <c r="BD148" s="67" t="n"/>
      <c r="BE148" s="6" t="n"/>
      <c r="BF148" s="66" t="n"/>
      <c r="BG148" s="5" t="n"/>
      <c r="BH148" s="6" t="n"/>
      <c r="BI148" s="68" t="n"/>
      <c r="BJ148" s="5" t="n"/>
      <c r="BK148" s="42" t="n"/>
    </row>
    <row r="149" ht="20" customHeight="1">
      <c r="A149" s="61" t="n"/>
      <c r="B149" s="6" t="n"/>
      <c r="C149" s="62" t="n"/>
      <c r="D149" s="5" t="n"/>
      <c r="E149" s="5" t="n"/>
      <c r="F149" s="6" t="n"/>
      <c r="G149" s="62" t="n"/>
      <c r="H149" s="5" t="n"/>
      <c r="I149" s="6" t="n"/>
      <c r="J149" s="62" t="n"/>
      <c r="K149" s="5" t="n"/>
      <c r="L149" s="6" t="n"/>
      <c r="M149" s="62" t="n"/>
      <c r="N149" s="5" t="n"/>
      <c r="O149" s="5" t="n"/>
      <c r="P149" s="5" t="n"/>
      <c r="Q149" s="6" t="n"/>
      <c r="R149" s="62" t="n"/>
      <c r="S149" s="5" t="n"/>
      <c r="T149" s="5" t="n"/>
      <c r="U149" s="5" t="n"/>
      <c r="V149" s="5" t="n"/>
      <c r="W149" s="5" t="n"/>
      <c r="X149" s="6" t="n"/>
      <c r="Y149" s="62" t="n"/>
      <c r="Z149" s="5" t="n"/>
      <c r="AA149" s="5" t="n"/>
      <c r="AB149" s="5" t="n"/>
      <c r="AC149" s="5" t="n"/>
      <c r="AD149" s="6" t="n"/>
      <c r="AE149" s="63" t="n"/>
      <c r="AF149" s="6" t="n"/>
      <c r="AG149" s="63" t="n"/>
      <c r="AH149" s="6" t="n"/>
      <c r="AI149" s="63" t="n"/>
      <c r="AJ149" s="6" t="n"/>
      <c r="AK149" s="63" t="n"/>
      <c r="AL149" s="6" t="n"/>
      <c r="AM149" s="63" t="n"/>
      <c r="AN149" s="5" t="n"/>
      <c r="AO149" s="6" t="n"/>
      <c r="AP149" s="63" t="n"/>
      <c r="AQ149" s="6" t="n"/>
      <c r="AR149" s="62" t="n"/>
      <c r="AS149" s="5" t="n"/>
      <c r="AT149" s="6" t="n"/>
      <c r="AU149" s="63" t="n"/>
      <c r="AV149" s="6" t="n"/>
      <c r="AW149" s="63" t="n"/>
      <c r="AX149" s="6" t="n"/>
      <c r="AY149" s="63" t="n"/>
      <c r="AZ149" s="6" t="n"/>
      <c r="BA149" s="63" t="n"/>
      <c r="BB149" s="5" t="n"/>
      <c r="BC149" s="6" t="n"/>
      <c r="BD149" s="63" t="n"/>
      <c r="BE149" s="6" t="n"/>
      <c r="BF149" s="62" t="n"/>
      <c r="BG149" s="5" t="n"/>
      <c r="BH149" s="6" t="n"/>
      <c r="BI149" s="64" t="n"/>
      <c r="BJ149" s="5" t="n"/>
      <c r="BK149" s="42" t="n"/>
    </row>
    <row r="150" ht="20" customHeight="1">
      <c r="A150" s="65" t="n"/>
      <c r="B150" s="6" t="n"/>
      <c r="C150" s="66" t="n"/>
      <c r="D150" s="5" t="n"/>
      <c r="E150" s="5" t="n"/>
      <c r="F150" s="6" t="n"/>
      <c r="G150" s="66" t="n"/>
      <c r="H150" s="5" t="n"/>
      <c r="I150" s="6" t="n"/>
      <c r="J150" s="66" t="n"/>
      <c r="K150" s="5" t="n"/>
      <c r="L150" s="6" t="n"/>
      <c r="M150" s="66" t="n"/>
      <c r="N150" s="5" t="n"/>
      <c r="O150" s="5" t="n"/>
      <c r="P150" s="5" t="n"/>
      <c r="Q150" s="6" t="n"/>
      <c r="R150" s="66" t="n"/>
      <c r="S150" s="5" t="n"/>
      <c r="T150" s="5" t="n"/>
      <c r="U150" s="5" t="n"/>
      <c r="V150" s="5" t="n"/>
      <c r="W150" s="5" t="n"/>
      <c r="X150" s="6" t="n"/>
      <c r="Y150" s="66" t="n"/>
      <c r="Z150" s="5" t="n"/>
      <c r="AA150" s="5" t="n"/>
      <c r="AB150" s="5" t="n"/>
      <c r="AC150" s="5" t="n"/>
      <c r="AD150" s="6" t="n"/>
      <c r="AE150" s="67" t="n"/>
      <c r="AF150" s="6" t="n"/>
      <c r="AG150" s="67" t="n"/>
      <c r="AH150" s="6" t="n"/>
      <c r="AI150" s="67" t="n"/>
      <c r="AJ150" s="6" t="n"/>
      <c r="AK150" s="67" t="n"/>
      <c r="AL150" s="6" t="n"/>
      <c r="AM150" s="67" t="n"/>
      <c r="AN150" s="5" t="n"/>
      <c r="AO150" s="6" t="n"/>
      <c r="AP150" s="67" t="n"/>
      <c r="AQ150" s="6" t="n"/>
      <c r="AR150" s="66" t="n"/>
      <c r="AS150" s="5" t="n"/>
      <c r="AT150" s="6" t="n"/>
      <c r="AU150" s="67" t="n"/>
      <c r="AV150" s="6" t="n"/>
      <c r="AW150" s="67" t="n"/>
      <c r="AX150" s="6" t="n"/>
      <c r="AY150" s="67" t="n"/>
      <c r="AZ150" s="6" t="n"/>
      <c r="BA150" s="67" t="n"/>
      <c r="BB150" s="5" t="n"/>
      <c r="BC150" s="6" t="n"/>
      <c r="BD150" s="67" t="n"/>
      <c r="BE150" s="6" t="n"/>
      <c r="BF150" s="66" t="n"/>
      <c r="BG150" s="5" t="n"/>
      <c r="BH150" s="6" t="n"/>
      <c r="BI150" s="68" t="n"/>
      <c r="BJ150" s="5" t="n"/>
      <c r="BK150" s="42" t="n"/>
    </row>
    <row r="151" ht="20" customHeight="1">
      <c r="A151" s="61" t="n"/>
      <c r="B151" s="6" t="n"/>
      <c r="C151" s="62" t="n"/>
      <c r="D151" s="5" t="n"/>
      <c r="E151" s="5" t="n"/>
      <c r="F151" s="6" t="n"/>
      <c r="G151" s="62" t="n"/>
      <c r="H151" s="5" t="n"/>
      <c r="I151" s="6" t="n"/>
      <c r="J151" s="62" t="n"/>
      <c r="K151" s="5" t="n"/>
      <c r="L151" s="6" t="n"/>
      <c r="M151" s="62" t="n"/>
      <c r="N151" s="5" t="n"/>
      <c r="O151" s="5" t="n"/>
      <c r="P151" s="5" t="n"/>
      <c r="Q151" s="6" t="n"/>
      <c r="R151" s="62" t="n"/>
      <c r="S151" s="5" t="n"/>
      <c r="T151" s="5" t="n"/>
      <c r="U151" s="5" t="n"/>
      <c r="V151" s="5" t="n"/>
      <c r="W151" s="5" t="n"/>
      <c r="X151" s="6" t="n"/>
      <c r="Y151" s="62" t="n"/>
      <c r="Z151" s="5" t="n"/>
      <c r="AA151" s="5" t="n"/>
      <c r="AB151" s="5" t="n"/>
      <c r="AC151" s="5" t="n"/>
      <c r="AD151" s="6" t="n"/>
      <c r="AE151" s="63" t="n"/>
      <c r="AF151" s="6" t="n"/>
      <c r="AG151" s="63" t="n"/>
      <c r="AH151" s="6" t="n"/>
      <c r="AI151" s="63" t="n"/>
      <c r="AJ151" s="6" t="n"/>
      <c r="AK151" s="63" t="n"/>
      <c r="AL151" s="6" t="n"/>
      <c r="AM151" s="63" t="n"/>
      <c r="AN151" s="5" t="n"/>
      <c r="AO151" s="6" t="n"/>
      <c r="AP151" s="63" t="n"/>
      <c r="AQ151" s="6" t="n"/>
      <c r="AR151" s="62" t="n"/>
      <c r="AS151" s="5" t="n"/>
      <c r="AT151" s="6" t="n"/>
      <c r="AU151" s="63" t="n"/>
      <c r="AV151" s="6" t="n"/>
      <c r="AW151" s="63" t="n"/>
      <c r="AX151" s="6" t="n"/>
      <c r="AY151" s="63" t="n"/>
      <c r="AZ151" s="6" t="n"/>
      <c r="BA151" s="63" t="n"/>
      <c r="BB151" s="5" t="n"/>
      <c r="BC151" s="6" t="n"/>
      <c r="BD151" s="63" t="n"/>
      <c r="BE151" s="6" t="n"/>
      <c r="BF151" s="62" t="n"/>
      <c r="BG151" s="5" t="n"/>
      <c r="BH151" s="6" t="n"/>
      <c r="BI151" s="64" t="n"/>
      <c r="BJ151" s="5" t="n"/>
      <c r="BK151" s="42" t="n"/>
    </row>
    <row r="152" ht="20" customHeight="1">
      <c r="A152" s="65" t="n"/>
      <c r="B152" s="6" t="n"/>
      <c r="C152" s="66" t="n"/>
      <c r="D152" s="5" t="n"/>
      <c r="E152" s="5" t="n"/>
      <c r="F152" s="6" t="n"/>
      <c r="G152" s="66" t="n"/>
      <c r="H152" s="5" t="n"/>
      <c r="I152" s="6" t="n"/>
      <c r="J152" s="66" t="n"/>
      <c r="K152" s="5" t="n"/>
      <c r="L152" s="6" t="n"/>
      <c r="M152" s="66" t="n"/>
      <c r="N152" s="5" t="n"/>
      <c r="O152" s="5" t="n"/>
      <c r="P152" s="5" t="n"/>
      <c r="Q152" s="6" t="n"/>
      <c r="R152" s="66" t="n"/>
      <c r="S152" s="5" t="n"/>
      <c r="T152" s="5" t="n"/>
      <c r="U152" s="5" t="n"/>
      <c r="V152" s="5" t="n"/>
      <c r="W152" s="5" t="n"/>
      <c r="X152" s="6" t="n"/>
      <c r="Y152" s="66" t="n"/>
      <c r="Z152" s="5" t="n"/>
      <c r="AA152" s="5" t="n"/>
      <c r="AB152" s="5" t="n"/>
      <c r="AC152" s="5" t="n"/>
      <c r="AD152" s="6" t="n"/>
      <c r="AE152" s="67" t="n"/>
      <c r="AF152" s="6" t="n"/>
      <c r="AG152" s="67" t="n"/>
      <c r="AH152" s="6" t="n"/>
      <c r="AI152" s="67" t="n"/>
      <c r="AJ152" s="6" t="n"/>
      <c r="AK152" s="67" t="n"/>
      <c r="AL152" s="6" t="n"/>
      <c r="AM152" s="67" t="n"/>
      <c r="AN152" s="5" t="n"/>
      <c r="AO152" s="6" t="n"/>
      <c r="AP152" s="67" t="n"/>
      <c r="AQ152" s="6" t="n"/>
      <c r="AR152" s="66" t="n"/>
      <c r="AS152" s="5" t="n"/>
      <c r="AT152" s="6" t="n"/>
      <c r="AU152" s="67" t="n"/>
      <c r="AV152" s="6" t="n"/>
      <c r="AW152" s="67" t="n"/>
      <c r="AX152" s="6" t="n"/>
      <c r="AY152" s="67" t="n"/>
      <c r="AZ152" s="6" t="n"/>
      <c r="BA152" s="67" t="n"/>
      <c r="BB152" s="5" t="n"/>
      <c r="BC152" s="6" t="n"/>
      <c r="BD152" s="67" t="n"/>
      <c r="BE152" s="6" t="n"/>
      <c r="BF152" s="66" t="n"/>
      <c r="BG152" s="5" t="n"/>
      <c r="BH152" s="6" t="n"/>
      <c r="BI152" s="68" t="n"/>
      <c r="BJ152" s="5" t="n"/>
      <c r="BK152" s="42" t="n"/>
    </row>
    <row r="153" ht="20" customHeight="1">
      <c r="A153" s="61" t="n"/>
      <c r="B153" s="6" t="n"/>
      <c r="C153" s="62" t="n"/>
      <c r="D153" s="5" t="n"/>
      <c r="E153" s="5" t="n"/>
      <c r="F153" s="6" t="n"/>
      <c r="G153" s="62" t="n"/>
      <c r="H153" s="5" t="n"/>
      <c r="I153" s="6" t="n"/>
      <c r="J153" s="62" t="n"/>
      <c r="K153" s="5" t="n"/>
      <c r="L153" s="6" t="n"/>
      <c r="M153" s="62" t="n"/>
      <c r="N153" s="5" t="n"/>
      <c r="O153" s="5" t="n"/>
      <c r="P153" s="5" t="n"/>
      <c r="Q153" s="6" t="n"/>
      <c r="R153" s="62" t="n"/>
      <c r="S153" s="5" t="n"/>
      <c r="T153" s="5" t="n"/>
      <c r="U153" s="5" t="n"/>
      <c r="V153" s="5" t="n"/>
      <c r="W153" s="5" t="n"/>
      <c r="X153" s="6" t="n"/>
      <c r="Y153" s="62" t="n"/>
      <c r="Z153" s="5" t="n"/>
      <c r="AA153" s="5" t="n"/>
      <c r="AB153" s="5" t="n"/>
      <c r="AC153" s="5" t="n"/>
      <c r="AD153" s="6" t="n"/>
      <c r="AE153" s="63" t="n"/>
      <c r="AF153" s="6" t="n"/>
      <c r="AG153" s="63" t="n"/>
      <c r="AH153" s="6" t="n"/>
      <c r="AI153" s="63" t="n"/>
      <c r="AJ153" s="6" t="n"/>
      <c r="AK153" s="63" t="n"/>
      <c r="AL153" s="6" t="n"/>
      <c r="AM153" s="63" t="n"/>
      <c r="AN153" s="5" t="n"/>
      <c r="AO153" s="6" t="n"/>
      <c r="AP153" s="63" t="n"/>
      <c r="AQ153" s="6" t="n"/>
      <c r="AR153" s="62" t="n"/>
      <c r="AS153" s="5" t="n"/>
      <c r="AT153" s="6" t="n"/>
      <c r="AU153" s="63" t="n"/>
      <c r="AV153" s="6" t="n"/>
      <c r="AW153" s="63" t="n"/>
      <c r="AX153" s="6" t="n"/>
      <c r="AY153" s="63" t="n"/>
      <c r="AZ153" s="6" t="n"/>
      <c r="BA153" s="63" t="n"/>
      <c r="BB153" s="5" t="n"/>
      <c r="BC153" s="6" t="n"/>
      <c r="BD153" s="63" t="n"/>
      <c r="BE153" s="6" t="n"/>
      <c r="BF153" s="62" t="n"/>
      <c r="BG153" s="5" t="n"/>
      <c r="BH153" s="6" t="n"/>
      <c r="BI153" s="64" t="n"/>
      <c r="BJ153" s="5" t="n"/>
      <c r="BK153" s="42" t="n"/>
    </row>
    <row r="154" ht="20" customHeight="1">
      <c r="A154" s="65" t="n"/>
      <c r="B154" s="6" t="n"/>
      <c r="C154" s="66" t="n"/>
      <c r="D154" s="5" t="n"/>
      <c r="E154" s="5" t="n"/>
      <c r="F154" s="6" t="n"/>
      <c r="G154" s="66" t="n"/>
      <c r="H154" s="5" t="n"/>
      <c r="I154" s="6" t="n"/>
      <c r="J154" s="66" t="n"/>
      <c r="K154" s="5" t="n"/>
      <c r="L154" s="6" t="n"/>
      <c r="M154" s="66" t="n"/>
      <c r="N154" s="5" t="n"/>
      <c r="O154" s="5" t="n"/>
      <c r="P154" s="5" t="n"/>
      <c r="Q154" s="6" t="n"/>
      <c r="R154" s="66" t="n"/>
      <c r="S154" s="5" t="n"/>
      <c r="T154" s="5" t="n"/>
      <c r="U154" s="5" t="n"/>
      <c r="V154" s="5" t="n"/>
      <c r="W154" s="5" t="n"/>
      <c r="X154" s="6" t="n"/>
      <c r="Y154" s="66" t="n"/>
      <c r="Z154" s="5" t="n"/>
      <c r="AA154" s="5" t="n"/>
      <c r="AB154" s="5" t="n"/>
      <c r="AC154" s="5" t="n"/>
      <c r="AD154" s="6" t="n"/>
      <c r="AE154" s="67" t="n"/>
      <c r="AF154" s="6" t="n"/>
      <c r="AG154" s="67" t="n"/>
      <c r="AH154" s="6" t="n"/>
      <c r="AI154" s="67" t="n"/>
      <c r="AJ154" s="6" t="n"/>
      <c r="AK154" s="67" t="n"/>
      <c r="AL154" s="6" t="n"/>
      <c r="AM154" s="67" t="n"/>
      <c r="AN154" s="5" t="n"/>
      <c r="AO154" s="6" t="n"/>
      <c r="AP154" s="67" t="n"/>
      <c r="AQ154" s="6" t="n"/>
      <c r="AR154" s="66" t="n"/>
      <c r="AS154" s="5" t="n"/>
      <c r="AT154" s="6" t="n"/>
      <c r="AU154" s="67" t="n"/>
      <c r="AV154" s="6" t="n"/>
      <c r="AW154" s="67" t="n"/>
      <c r="AX154" s="6" t="n"/>
      <c r="AY154" s="67" t="n"/>
      <c r="AZ154" s="6" t="n"/>
      <c r="BA154" s="67" t="n"/>
      <c r="BB154" s="5" t="n"/>
      <c r="BC154" s="6" t="n"/>
      <c r="BD154" s="67" t="n"/>
      <c r="BE154" s="6" t="n"/>
      <c r="BF154" s="66" t="n"/>
      <c r="BG154" s="5" t="n"/>
      <c r="BH154" s="6" t="n"/>
      <c r="BI154" s="68" t="n"/>
      <c r="BJ154" s="5" t="n"/>
      <c r="BK154" s="42" t="n"/>
    </row>
    <row r="155" ht="20" customHeight="1">
      <c r="A155" s="61" t="n"/>
      <c r="B155" s="6" t="n"/>
      <c r="C155" s="62" t="n"/>
      <c r="D155" s="5" t="n"/>
      <c r="E155" s="5" t="n"/>
      <c r="F155" s="6" t="n"/>
      <c r="G155" s="62" t="n"/>
      <c r="H155" s="5" t="n"/>
      <c r="I155" s="6" t="n"/>
      <c r="J155" s="62" t="n"/>
      <c r="K155" s="5" t="n"/>
      <c r="L155" s="6" t="n"/>
      <c r="M155" s="62" t="n"/>
      <c r="N155" s="5" t="n"/>
      <c r="O155" s="5" t="n"/>
      <c r="P155" s="5" t="n"/>
      <c r="Q155" s="6" t="n"/>
      <c r="R155" s="62" t="n"/>
      <c r="S155" s="5" t="n"/>
      <c r="T155" s="5" t="n"/>
      <c r="U155" s="5" t="n"/>
      <c r="V155" s="5" t="n"/>
      <c r="W155" s="5" t="n"/>
      <c r="X155" s="6" t="n"/>
      <c r="Y155" s="62" t="n"/>
      <c r="Z155" s="5" t="n"/>
      <c r="AA155" s="5" t="n"/>
      <c r="AB155" s="5" t="n"/>
      <c r="AC155" s="5" t="n"/>
      <c r="AD155" s="6" t="n"/>
      <c r="AE155" s="63" t="n"/>
      <c r="AF155" s="6" t="n"/>
      <c r="AG155" s="63" t="n"/>
      <c r="AH155" s="6" t="n"/>
      <c r="AI155" s="63" t="n"/>
      <c r="AJ155" s="6" t="n"/>
      <c r="AK155" s="63" t="n"/>
      <c r="AL155" s="6" t="n"/>
      <c r="AM155" s="63" t="n"/>
      <c r="AN155" s="5" t="n"/>
      <c r="AO155" s="6" t="n"/>
      <c r="AP155" s="63" t="n"/>
      <c r="AQ155" s="6" t="n"/>
      <c r="AR155" s="62" t="n"/>
      <c r="AS155" s="5" t="n"/>
      <c r="AT155" s="6" t="n"/>
      <c r="AU155" s="63" t="n"/>
      <c r="AV155" s="6" t="n"/>
      <c r="AW155" s="63" t="n"/>
      <c r="AX155" s="6" t="n"/>
      <c r="AY155" s="63" t="n"/>
      <c r="AZ155" s="6" t="n"/>
      <c r="BA155" s="63" t="n"/>
      <c r="BB155" s="5" t="n"/>
      <c r="BC155" s="6" t="n"/>
      <c r="BD155" s="63" t="n"/>
      <c r="BE155" s="6" t="n"/>
      <c r="BF155" s="62" t="n"/>
      <c r="BG155" s="5" t="n"/>
      <c r="BH155" s="6" t="n"/>
      <c r="BI155" s="64" t="n"/>
      <c r="BJ155" s="5" t="n"/>
      <c r="BK155" s="42" t="n"/>
    </row>
    <row r="156" ht="20" customHeight="1">
      <c r="A156" s="65" t="n"/>
      <c r="B156" s="6" t="n"/>
      <c r="C156" s="66" t="n"/>
      <c r="D156" s="5" t="n"/>
      <c r="E156" s="5" t="n"/>
      <c r="F156" s="6" t="n"/>
      <c r="G156" s="66" t="n"/>
      <c r="H156" s="5" t="n"/>
      <c r="I156" s="6" t="n"/>
      <c r="J156" s="66" t="n"/>
      <c r="K156" s="5" t="n"/>
      <c r="L156" s="6" t="n"/>
      <c r="M156" s="66" t="n"/>
      <c r="N156" s="5" t="n"/>
      <c r="O156" s="5" t="n"/>
      <c r="P156" s="5" t="n"/>
      <c r="Q156" s="6" t="n"/>
      <c r="R156" s="66" t="n"/>
      <c r="S156" s="5" t="n"/>
      <c r="T156" s="5" t="n"/>
      <c r="U156" s="5" t="n"/>
      <c r="V156" s="5" t="n"/>
      <c r="W156" s="5" t="n"/>
      <c r="X156" s="6" t="n"/>
      <c r="Y156" s="66" t="n"/>
      <c r="Z156" s="5" t="n"/>
      <c r="AA156" s="5" t="n"/>
      <c r="AB156" s="5" t="n"/>
      <c r="AC156" s="5" t="n"/>
      <c r="AD156" s="6" t="n"/>
      <c r="AE156" s="67" t="n"/>
      <c r="AF156" s="6" t="n"/>
      <c r="AG156" s="67" t="n"/>
      <c r="AH156" s="6" t="n"/>
      <c r="AI156" s="67" t="n"/>
      <c r="AJ156" s="6" t="n"/>
      <c r="AK156" s="67" t="n"/>
      <c r="AL156" s="6" t="n"/>
      <c r="AM156" s="67" t="n"/>
      <c r="AN156" s="5" t="n"/>
      <c r="AO156" s="6" t="n"/>
      <c r="AP156" s="67" t="n"/>
      <c r="AQ156" s="6" t="n"/>
      <c r="AR156" s="66" t="n"/>
      <c r="AS156" s="5" t="n"/>
      <c r="AT156" s="6" t="n"/>
      <c r="AU156" s="67" t="n"/>
      <c r="AV156" s="6" t="n"/>
      <c r="AW156" s="67" t="n"/>
      <c r="AX156" s="6" t="n"/>
      <c r="AY156" s="67" t="n"/>
      <c r="AZ156" s="6" t="n"/>
      <c r="BA156" s="67" t="n"/>
      <c r="BB156" s="5" t="n"/>
      <c r="BC156" s="6" t="n"/>
      <c r="BD156" s="67" t="n"/>
      <c r="BE156" s="6" t="n"/>
      <c r="BF156" s="66" t="n"/>
      <c r="BG156" s="5" t="n"/>
      <c r="BH156" s="6" t="n"/>
      <c r="BI156" s="68" t="n"/>
      <c r="BJ156" s="5" t="n"/>
      <c r="BK156" s="42" t="n"/>
    </row>
    <row r="157" ht="20" customHeight="1">
      <c r="A157" s="61" t="n"/>
      <c r="B157" s="6" t="n"/>
      <c r="C157" s="62" t="n"/>
      <c r="D157" s="5" t="n"/>
      <c r="E157" s="5" t="n"/>
      <c r="F157" s="6" t="n"/>
      <c r="G157" s="62" t="n"/>
      <c r="H157" s="5" t="n"/>
      <c r="I157" s="6" t="n"/>
      <c r="J157" s="62" t="n"/>
      <c r="K157" s="5" t="n"/>
      <c r="L157" s="6" t="n"/>
      <c r="M157" s="62" t="n"/>
      <c r="N157" s="5" t="n"/>
      <c r="O157" s="5" t="n"/>
      <c r="P157" s="5" t="n"/>
      <c r="Q157" s="6" t="n"/>
      <c r="R157" s="62" t="n"/>
      <c r="S157" s="5" t="n"/>
      <c r="T157" s="5" t="n"/>
      <c r="U157" s="5" t="n"/>
      <c r="V157" s="5" t="n"/>
      <c r="W157" s="5" t="n"/>
      <c r="X157" s="6" t="n"/>
      <c r="Y157" s="62" t="n"/>
      <c r="Z157" s="5" t="n"/>
      <c r="AA157" s="5" t="n"/>
      <c r="AB157" s="5" t="n"/>
      <c r="AC157" s="5" t="n"/>
      <c r="AD157" s="6" t="n"/>
      <c r="AE157" s="63" t="n"/>
      <c r="AF157" s="6" t="n"/>
      <c r="AG157" s="63" t="n"/>
      <c r="AH157" s="6" t="n"/>
      <c r="AI157" s="63" t="n"/>
      <c r="AJ157" s="6" t="n"/>
      <c r="AK157" s="63" t="n"/>
      <c r="AL157" s="6" t="n"/>
      <c r="AM157" s="63" t="n"/>
      <c r="AN157" s="5" t="n"/>
      <c r="AO157" s="6" t="n"/>
      <c r="AP157" s="63" t="n"/>
      <c r="AQ157" s="6" t="n"/>
      <c r="AR157" s="62" t="n"/>
      <c r="AS157" s="5" t="n"/>
      <c r="AT157" s="6" t="n"/>
      <c r="AU157" s="63" t="n"/>
      <c r="AV157" s="6" t="n"/>
      <c r="AW157" s="63" t="n"/>
      <c r="AX157" s="6" t="n"/>
      <c r="AY157" s="63" t="n"/>
      <c r="AZ157" s="6" t="n"/>
      <c r="BA157" s="63" t="n"/>
      <c r="BB157" s="5" t="n"/>
      <c r="BC157" s="6" t="n"/>
      <c r="BD157" s="63" t="n"/>
      <c r="BE157" s="6" t="n"/>
      <c r="BF157" s="62" t="n"/>
      <c r="BG157" s="5" t="n"/>
      <c r="BH157" s="6" t="n"/>
      <c r="BI157" s="64" t="n"/>
      <c r="BJ157" s="5" t="n"/>
      <c r="BK157" s="42" t="n"/>
    </row>
    <row r="158" ht="20" customHeight="1">
      <c r="A158" s="65" t="n"/>
      <c r="B158" s="6" t="n"/>
      <c r="C158" s="66" t="n"/>
      <c r="D158" s="5" t="n"/>
      <c r="E158" s="5" t="n"/>
      <c r="F158" s="6" t="n"/>
      <c r="G158" s="66" t="n"/>
      <c r="H158" s="5" t="n"/>
      <c r="I158" s="6" t="n"/>
      <c r="J158" s="66" t="n"/>
      <c r="K158" s="5" t="n"/>
      <c r="L158" s="6" t="n"/>
      <c r="M158" s="66" t="n"/>
      <c r="N158" s="5" t="n"/>
      <c r="O158" s="5" t="n"/>
      <c r="P158" s="5" t="n"/>
      <c r="Q158" s="6" t="n"/>
      <c r="R158" s="66" t="n"/>
      <c r="S158" s="5" t="n"/>
      <c r="T158" s="5" t="n"/>
      <c r="U158" s="5" t="n"/>
      <c r="V158" s="5" t="n"/>
      <c r="W158" s="5" t="n"/>
      <c r="X158" s="6" t="n"/>
      <c r="Y158" s="66" t="n"/>
      <c r="Z158" s="5" t="n"/>
      <c r="AA158" s="5" t="n"/>
      <c r="AB158" s="5" t="n"/>
      <c r="AC158" s="5" t="n"/>
      <c r="AD158" s="6" t="n"/>
      <c r="AE158" s="67" t="n"/>
      <c r="AF158" s="6" t="n"/>
      <c r="AG158" s="67" t="n"/>
      <c r="AH158" s="6" t="n"/>
      <c r="AI158" s="67" t="n"/>
      <c r="AJ158" s="6" t="n"/>
      <c r="AK158" s="67" t="n"/>
      <c r="AL158" s="6" t="n"/>
      <c r="AM158" s="67" t="n"/>
      <c r="AN158" s="5" t="n"/>
      <c r="AO158" s="6" t="n"/>
      <c r="AP158" s="67" t="n"/>
      <c r="AQ158" s="6" t="n"/>
      <c r="AR158" s="66" t="n"/>
      <c r="AS158" s="5" t="n"/>
      <c r="AT158" s="6" t="n"/>
      <c r="AU158" s="67" t="n"/>
      <c r="AV158" s="6" t="n"/>
      <c r="AW158" s="67" t="n"/>
      <c r="AX158" s="6" t="n"/>
      <c r="AY158" s="67" t="n"/>
      <c r="AZ158" s="6" t="n"/>
      <c r="BA158" s="67" t="n"/>
      <c r="BB158" s="5" t="n"/>
      <c r="BC158" s="6" t="n"/>
      <c r="BD158" s="67" t="n"/>
      <c r="BE158" s="6" t="n"/>
      <c r="BF158" s="66" t="n"/>
      <c r="BG158" s="5" t="n"/>
      <c r="BH158" s="6" t="n"/>
      <c r="BI158" s="68" t="n"/>
      <c r="BJ158" s="5" t="n"/>
      <c r="BK158" s="42" t="n"/>
    </row>
    <row r="159" ht="20" customHeight="1">
      <c r="A159" s="61" t="n"/>
      <c r="B159" s="6" t="n"/>
      <c r="C159" s="62" t="n"/>
      <c r="D159" s="5" t="n"/>
      <c r="E159" s="5" t="n"/>
      <c r="F159" s="6" t="n"/>
      <c r="G159" s="62" t="n"/>
      <c r="H159" s="5" t="n"/>
      <c r="I159" s="6" t="n"/>
      <c r="J159" s="62" t="n"/>
      <c r="K159" s="5" t="n"/>
      <c r="L159" s="6" t="n"/>
      <c r="M159" s="62" t="n"/>
      <c r="N159" s="5" t="n"/>
      <c r="O159" s="5" t="n"/>
      <c r="P159" s="5" t="n"/>
      <c r="Q159" s="6" t="n"/>
      <c r="R159" s="62" t="n"/>
      <c r="S159" s="5" t="n"/>
      <c r="T159" s="5" t="n"/>
      <c r="U159" s="5" t="n"/>
      <c r="V159" s="5" t="n"/>
      <c r="W159" s="5" t="n"/>
      <c r="X159" s="6" t="n"/>
      <c r="Y159" s="62" t="n"/>
      <c r="Z159" s="5" t="n"/>
      <c r="AA159" s="5" t="n"/>
      <c r="AB159" s="5" t="n"/>
      <c r="AC159" s="5" t="n"/>
      <c r="AD159" s="6" t="n"/>
      <c r="AE159" s="63" t="n"/>
      <c r="AF159" s="6" t="n"/>
      <c r="AG159" s="63" t="n"/>
      <c r="AH159" s="6" t="n"/>
      <c r="AI159" s="63" t="n"/>
      <c r="AJ159" s="6" t="n"/>
      <c r="AK159" s="63" t="n"/>
      <c r="AL159" s="6" t="n"/>
      <c r="AM159" s="63" t="n"/>
      <c r="AN159" s="5" t="n"/>
      <c r="AO159" s="6" t="n"/>
      <c r="AP159" s="63" t="n"/>
      <c r="AQ159" s="6" t="n"/>
      <c r="AR159" s="62" t="n"/>
      <c r="AS159" s="5" t="n"/>
      <c r="AT159" s="6" t="n"/>
      <c r="AU159" s="63" t="n"/>
      <c r="AV159" s="6" t="n"/>
      <c r="AW159" s="63" t="n"/>
      <c r="AX159" s="6" t="n"/>
      <c r="AY159" s="63" t="n"/>
      <c r="AZ159" s="6" t="n"/>
      <c r="BA159" s="63" t="n"/>
      <c r="BB159" s="5" t="n"/>
      <c r="BC159" s="6" t="n"/>
      <c r="BD159" s="63" t="n"/>
      <c r="BE159" s="6" t="n"/>
      <c r="BF159" s="62" t="n"/>
      <c r="BG159" s="5" t="n"/>
      <c r="BH159" s="6" t="n"/>
      <c r="BI159" s="64" t="n"/>
      <c r="BJ159" s="5" t="n"/>
      <c r="BK159" s="42" t="n"/>
    </row>
    <row r="160" ht="20" customHeight="1">
      <c r="A160" s="65" t="n"/>
      <c r="B160" s="6" t="n"/>
      <c r="C160" s="66" t="n"/>
      <c r="D160" s="5" t="n"/>
      <c r="E160" s="5" t="n"/>
      <c r="F160" s="6" t="n"/>
      <c r="G160" s="66" t="n"/>
      <c r="H160" s="5" t="n"/>
      <c r="I160" s="6" t="n"/>
      <c r="J160" s="66" t="n"/>
      <c r="K160" s="5" t="n"/>
      <c r="L160" s="6" t="n"/>
      <c r="M160" s="66" t="n"/>
      <c r="N160" s="5" t="n"/>
      <c r="O160" s="5" t="n"/>
      <c r="P160" s="5" t="n"/>
      <c r="Q160" s="6" t="n"/>
      <c r="R160" s="66" t="n"/>
      <c r="S160" s="5" t="n"/>
      <c r="T160" s="5" t="n"/>
      <c r="U160" s="5" t="n"/>
      <c r="V160" s="5" t="n"/>
      <c r="W160" s="5" t="n"/>
      <c r="X160" s="6" t="n"/>
      <c r="Y160" s="66" t="n"/>
      <c r="Z160" s="5" t="n"/>
      <c r="AA160" s="5" t="n"/>
      <c r="AB160" s="5" t="n"/>
      <c r="AC160" s="5" t="n"/>
      <c r="AD160" s="6" t="n"/>
      <c r="AE160" s="67" t="n"/>
      <c r="AF160" s="6" t="n"/>
      <c r="AG160" s="67" t="n"/>
      <c r="AH160" s="6" t="n"/>
      <c r="AI160" s="67" t="n"/>
      <c r="AJ160" s="6" t="n"/>
      <c r="AK160" s="67" t="n"/>
      <c r="AL160" s="6" t="n"/>
      <c r="AM160" s="67" t="n"/>
      <c r="AN160" s="5" t="n"/>
      <c r="AO160" s="6" t="n"/>
      <c r="AP160" s="67" t="n"/>
      <c r="AQ160" s="6" t="n"/>
      <c r="AR160" s="66" t="n"/>
      <c r="AS160" s="5" t="n"/>
      <c r="AT160" s="6" t="n"/>
      <c r="AU160" s="67" t="n"/>
      <c r="AV160" s="6" t="n"/>
      <c r="AW160" s="67" t="n"/>
      <c r="AX160" s="6" t="n"/>
      <c r="AY160" s="67" t="n"/>
      <c r="AZ160" s="6" t="n"/>
      <c r="BA160" s="67" t="n"/>
      <c r="BB160" s="5" t="n"/>
      <c r="BC160" s="6" t="n"/>
      <c r="BD160" s="67" t="n"/>
      <c r="BE160" s="6" t="n"/>
      <c r="BF160" s="66" t="n"/>
      <c r="BG160" s="5" t="n"/>
      <c r="BH160" s="6" t="n"/>
      <c r="BI160" s="68" t="n"/>
      <c r="BJ160" s="5" t="n"/>
      <c r="BK160" s="42" t="n"/>
    </row>
    <row r="161" ht="20" customHeight="1">
      <c r="A161" s="61" t="n"/>
      <c r="B161" s="6" t="n"/>
      <c r="C161" s="62" t="n"/>
      <c r="D161" s="5" t="n"/>
      <c r="E161" s="5" t="n"/>
      <c r="F161" s="6" t="n"/>
      <c r="G161" s="62" t="n"/>
      <c r="H161" s="5" t="n"/>
      <c r="I161" s="6" t="n"/>
      <c r="J161" s="62" t="n"/>
      <c r="K161" s="5" t="n"/>
      <c r="L161" s="6" t="n"/>
      <c r="M161" s="62" t="n"/>
      <c r="N161" s="5" t="n"/>
      <c r="O161" s="5" t="n"/>
      <c r="P161" s="5" t="n"/>
      <c r="Q161" s="6" t="n"/>
      <c r="R161" s="62" t="n"/>
      <c r="S161" s="5" t="n"/>
      <c r="T161" s="5" t="n"/>
      <c r="U161" s="5" t="n"/>
      <c r="V161" s="5" t="n"/>
      <c r="W161" s="5" t="n"/>
      <c r="X161" s="6" t="n"/>
      <c r="Y161" s="62" t="n"/>
      <c r="Z161" s="5" t="n"/>
      <c r="AA161" s="5" t="n"/>
      <c r="AB161" s="5" t="n"/>
      <c r="AC161" s="5" t="n"/>
      <c r="AD161" s="6" t="n"/>
      <c r="AE161" s="63" t="n"/>
      <c r="AF161" s="6" t="n"/>
      <c r="AG161" s="63" t="n"/>
      <c r="AH161" s="6" t="n"/>
      <c r="AI161" s="63" t="n"/>
      <c r="AJ161" s="6" t="n"/>
      <c r="AK161" s="63" t="n"/>
      <c r="AL161" s="6" t="n"/>
      <c r="AM161" s="63" t="n"/>
      <c r="AN161" s="5" t="n"/>
      <c r="AO161" s="6" t="n"/>
      <c r="AP161" s="63" t="n"/>
      <c r="AQ161" s="6" t="n"/>
      <c r="AR161" s="62" t="n"/>
      <c r="AS161" s="5" t="n"/>
      <c r="AT161" s="6" t="n"/>
      <c r="AU161" s="63" t="n"/>
      <c r="AV161" s="6" t="n"/>
      <c r="AW161" s="63" t="n"/>
      <c r="AX161" s="6" t="n"/>
      <c r="AY161" s="63" t="n"/>
      <c r="AZ161" s="6" t="n"/>
      <c r="BA161" s="63" t="n"/>
      <c r="BB161" s="5" t="n"/>
      <c r="BC161" s="6" t="n"/>
      <c r="BD161" s="63" t="n"/>
      <c r="BE161" s="6" t="n"/>
      <c r="BF161" s="62" t="n"/>
      <c r="BG161" s="5" t="n"/>
      <c r="BH161" s="6" t="n"/>
      <c r="BI161" s="64" t="n"/>
      <c r="BJ161" s="5" t="n"/>
      <c r="BK161" s="42" t="n"/>
    </row>
    <row r="162" ht="20" customHeight="1">
      <c r="A162" s="65" t="n"/>
      <c r="B162" s="6" t="n"/>
      <c r="C162" s="66" t="n"/>
      <c r="D162" s="5" t="n"/>
      <c r="E162" s="5" t="n"/>
      <c r="F162" s="6" t="n"/>
      <c r="G162" s="66" t="n"/>
      <c r="H162" s="5" t="n"/>
      <c r="I162" s="6" t="n"/>
      <c r="J162" s="66" t="n"/>
      <c r="K162" s="5" t="n"/>
      <c r="L162" s="6" t="n"/>
      <c r="M162" s="66" t="n"/>
      <c r="N162" s="5" t="n"/>
      <c r="O162" s="5" t="n"/>
      <c r="P162" s="5" t="n"/>
      <c r="Q162" s="6" t="n"/>
      <c r="R162" s="66" t="n"/>
      <c r="S162" s="5" t="n"/>
      <c r="T162" s="5" t="n"/>
      <c r="U162" s="5" t="n"/>
      <c r="V162" s="5" t="n"/>
      <c r="W162" s="5" t="n"/>
      <c r="X162" s="6" t="n"/>
      <c r="Y162" s="66" t="n"/>
      <c r="Z162" s="5" t="n"/>
      <c r="AA162" s="5" t="n"/>
      <c r="AB162" s="5" t="n"/>
      <c r="AC162" s="5" t="n"/>
      <c r="AD162" s="6" t="n"/>
      <c r="AE162" s="67" t="n"/>
      <c r="AF162" s="6" t="n"/>
      <c r="AG162" s="67" t="n"/>
      <c r="AH162" s="6" t="n"/>
      <c r="AI162" s="67" t="n"/>
      <c r="AJ162" s="6" t="n"/>
      <c r="AK162" s="67" t="n"/>
      <c r="AL162" s="6" t="n"/>
      <c r="AM162" s="67" t="n"/>
      <c r="AN162" s="5" t="n"/>
      <c r="AO162" s="6" t="n"/>
      <c r="AP162" s="67" t="n"/>
      <c r="AQ162" s="6" t="n"/>
      <c r="AR162" s="66" t="n"/>
      <c r="AS162" s="5" t="n"/>
      <c r="AT162" s="6" t="n"/>
      <c r="AU162" s="67" t="n"/>
      <c r="AV162" s="6" t="n"/>
      <c r="AW162" s="67" t="n"/>
      <c r="AX162" s="6" t="n"/>
      <c r="AY162" s="67" t="n"/>
      <c r="AZ162" s="6" t="n"/>
      <c r="BA162" s="67" t="n"/>
      <c r="BB162" s="5" t="n"/>
      <c r="BC162" s="6" t="n"/>
      <c r="BD162" s="67" t="n"/>
      <c r="BE162" s="6" t="n"/>
      <c r="BF162" s="66" t="n"/>
      <c r="BG162" s="5" t="n"/>
      <c r="BH162" s="6" t="n"/>
      <c r="BI162" s="68" t="n"/>
      <c r="BJ162" s="5" t="n"/>
      <c r="BK162" s="42" t="n"/>
    </row>
    <row r="163" ht="20" customHeight="1">
      <c r="A163" s="61" t="n"/>
      <c r="B163" s="6" t="n"/>
      <c r="C163" s="62" t="n"/>
      <c r="D163" s="5" t="n"/>
      <c r="E163" s="5" t="n"/>
      <c r="F163" s="6" t="n"/>
      <c r="G163" s="62" t="n"/>
      <c r="H163" s="5" t="n"/>
      <c r="I163" s="6" t="n"/>
      <c r="J163" s="62" t="n"/>
      <c r="K163" s="5" t="n"/>
      <c r="L163" s="6" t="n"/>
      <c r="M163" s="62" t="n"/>
      <c r="N163" s="5" t="n"/>
      <c r="O163" s="5" t="n"/>
      <c r="P163" s="5" t="n"/>
      <c r="Q163" s="6" t="n"/>
      <c r="R163" s="62" t="n"/>
      <c r="S163" s="5" t="n"/>
      <c r="T163" s="5" t="n"/>
      <c r="U163" s="5" t="n"/>
      <c r="V163" s="5" t="n"/>
      <c r="W163" s="5" t="n"/>
      <c r="X163" s="6" t="n"/>
      <c r="Y163" s="62" t="n"/>
      <c r="Z163" s="5" t="n"/>
      <c r="AA163" s="5" t="n"/>
      <c r="AB163" s="5" t="n"/>
      <c r="AC163" s="5" t="n"/>
      <c r="AD163" s="6" t="n"/>
      <c r="AE163" s="63" t="n"/>
      <c r="AF163" s="6" t="n"/>
      <c r="AG163" s="63" t="n"/>
      <c r="AH163" s="6" t="n"/>
      <c r="AI163" s="63" t="n"/>
      <c r="AJ163" s="6" t="n"/>
      <c r="AK163" s="63" t="n"/>
      <c r="AL163" s="6" t="n"/>
      <c r="AM163" s="63" t="n"/>
      <c r="AN163" s="5" t="n"/>
      <c r="AO163" s="6" t="n"/>
      <c r="AP163" s="63" t="n"/>
      <c r="AQ163" s="6" t="n"/>
      <c r="AR163" s="62" t="n"/>
      <c r="AS163" s="5" t="n"/>
      <c r="AT163" s="6" t="n"/>
      <c r="AU163" s="63" t="n"/>
      <c r="AV163" s="6" t="n"/>
      <c r="AW163" s="63" t="n"/>
      <c r="AX163" s="6" t="n"/>
      <c r="AY163" s="63" t="n"/>
      <c r="AZ163" s="6" t="n"/>
      <c r="BA163" s="63" t="n"/>
      <c r="BB163" s="5" t="n"/>
      <c r="BC163" s="6" t="n"/>
      <c r="BD163" s="63" t="n"/>
      <c r="BE163" s="6" t="n"/>
      <c r="BF163" s="62" t="n"/>
      <c r="BG163" s="5" t="n"/>
      <c r="BH163" s="6" t="n"/>
      <c r="BI163" s="64" t="n"/>
      <c r="BJ163" s="5" t="n"/>
      <c r="BK163" s="42" t="n"/>
    </row>
    <row r="164" ht="20" customHeight="1">
      <c r="A164" s="65" t="n"/>
      <c r="B164" s="6" t="n"/>
      <c r="C164" s="66" t="n"/>
      <c r="D164" s="5" t="n"/>
      <c r="E164" s="5" t="n"/>
      <c r="F164" s="6" t="n"/>
      <c r="G164" s="66" t="n"/>
      <c r="H164" s="5" t="n"/>
      <c r="I164" s="6" t="n"/>
      <c r="J164" s="66" t="n"/>
      <c r="K164" s="5" t="n"/>
      <c r="L164" s="6" t="n"/>
      <c r="M164" s="66" t="n"/>
      <c r="N164" s="5" t="n"/>
      <c r="O164" s="5" t="n"/>
      <c r="P164" s="5" t="n"/>
      <c r="Q164" s="6" t="n"/>
      <c r="R164" s="66" t="n"/>
      <c r="S164" s="5" t="n"/>
      <c r="T164" s="5" t="n"/>
      <c r="U164" s="5" t="n"/>
      <c r="V164" s="5" t="n"/>
      <c r="W164" s="5" t="n"/>
      <c r="X164" s="6" t="n"/>
      <c r="Y164" s="66" t="n"/>
      <c r="Z164" s="5" t="n"/>
      <c r="AA164" s="5" t="n"/>
      <c r="AB164" s="5" t="n"/>
      <c r="AC164" s="5" t="n"/>
      <c r="AD164" s="6" t="n"/>
      <c r="AE164" s="67" t="n"/>
      <c r="AF164" s="6" t="n"/>
      <c r="AG164" s="67" t="n"/>
      <c r="AH164" s="6" t="n"/>
      <c r="AI164" s="67" t="n"/>
      <c r="AJ164" s="6" t="n"/>
      <c r="AK164" s="67" t="n"/>
      <c r="AL164" s="6" t="n"/>
      <c r="AM164" s="67" t="n"/>
      <c r="AN164" s="5" t="n"/>
      <c r="AO164" s="6" t="n"/>
      <c r="AP164" s="67" t="n"/>
      <c r="AQ164" s="6" t="n"/>
      <c r="AR164" s="66" t="n"/>
      <c r="AS164" s="5" t="n"/>
      <c r="AT164" s="6" t="n"/>
      <c r="AU164" s="67" t="n"/>
      <c r="AV164" s="6" t="n"/>
      <c r="AW164" s="67" t="n"/>
      <c r="AX164" s="6" t="n"/>
      <c r="AY164" s="67" t="n"/>
      <c r="AZ164" s="6" t="n"/>
      <c r="BA164" s="67" t="n"/>
      <c r="BB164" s="5" t="n"/>
      <c r="BC164" s="6" t="n"/>
      <c r="BD164" s="67" t="n"/>
      <c r="BE164" s="6" t="n"/>
      <c r="BF164" s="66" t="n"/>
      <c r="BG164" s="5" t="n"/>
      <c r="BH164" s="6" t="n"/>
      <c r="BI164" s="68" t="n"/>
      <c r="BJ164" s="5" t="n"/>
      <c r="BK164" s="42" t="n"/>
    </row>
    <row r="165" ht="20" customHeight="1">
      <c r="A165" s="61" t="n"/>
      <c r="B165" s="6" t="n"/>
      <c r="C165" s="62" t="n"/>
      <c r="D165" s="5" t="n"/>
      <c r="E165" s="5" t="n"/>
      <c r="F165" s="6" t="n"/>
      <c r="G165" s="62" t="n"/>
      <c r="H165" s="5" t="n"/>
      <c r="I165" s="6" t="n"/>
      <c r="J165" s="62" t="n"/>
      <c r="K165" s="5" t="n"/>
      <c r="L165" s="6" t="n"/>
      <c r="M165" s="62" t="n"/>
      <c r="N165" s="5" t="n"/>
      <c r="O165" s="5" t="n"/>
      <c r="P165" s="5" t="n"/>
      <c r="Q165" s="6" t="n"/>
      <c r="R165" s="62" t="n"/>
      <c r="S165" s="5" t="n"/>
      <c r="T165" s="5" t="n"/>
      <c r="U165" s="5" t="n"/>
      <c r="V165" s="5" t="n"/>
      <c r="W165" s="5" t="n"/>
      <c r="X165" s="6" t="n"/>
      <c r="Y165" s="62" t="n"/>
      <c r="Z165" s="5" t="n"/>
      <c r="AA165" s="5" t="n"/>
      <c r="AB165" s="5" t="n"/>
      <c r="AC165" s="5" t="n"/>
      <c r="AD165" s="6" t="n"/>
      <c r="AE165" s="63" t="n"/>
      <c r="AF165" s="6" t="n"/>
      <c r="AG165" s="63" t="n"/>
      <c r="AH165" s="6" t="n"/>
      <c r="AI165" s="63" t="n"/>
      <c r="AJ165" s="6" t="n"/>
      <c r="AK165" s="63" t="n"/>
      <c r="AL165" s="6" t="n"/>
      <c r="AM165" s="63" t="n"/>
      <c r="AN165" s="5" t="n"/>
      <c r="AO165" s="6" t="n"/>
      <c r="AP165" s="63" t="n"/>
      <c r="AQ165" s="6" t="n"/>
      <c r="AR165" s="62" t="n"/>
      <c r="AS165" s="5" t="n"/>
      <c r="AT165" s="6" t="n"/>
      <c r="AU165" s="63" t="n"/>
      <c r="AV165" s="6" t="n"/>
      <c r="AW165" s="63" t="n"/>
      <c r="AX165" s="6" t="n"/>
      <c r="AY165" s="63" t="n"/>
      <c r="AZ165" s="6" t="n"/>
      <c r="BA165" s="63" t="n"/>
      <c r="BB165" s="5" t="n"/>
      <c r="BC165" s="6" t="n"/>
      <c r="BD165" s="63" t="n"/>
      <c r="BE165" s="6" t="n"/>
      <c r="BF165" s="62" t="n"/>
      <c r="BG165" s="5" t="n"/>
      <c r="BH165" s="6" t="n"/>
      <c r="BI165" s="64" t="n"/>
      <c r="BJ165" s="5" t="n"/>
      <c r="BK165" s="42" t="n"/>
    </row>
    <row r="166" ht="20" customHeight="1">
      <c r="A166" s="65" t="n"/>
      <c r="B166" s="6" t="n"/>
      <c r="C166" s="66" t="n"/>
      <c r="D166" s="5" t="n"/>
      <c r="E166" s="5" t="n"/>
      <c r="F166" s="6" t="n"/>
      <c r="G166" s="66" t="n"/>
      <c r="H166" s="5" t="n"/>
      <c r="I166" s="6" t="n"/>
      <c r="J166" s="66" t="n"/>
      <c r="K166" s="5" t="n"/>
      <c r="L166" s="6" t="n"/>
      <c r="M166" s="66" t="n"/>
      <c r="N166" s="5" t="n"/>
      <c r="O166" s="5" t="n"/>
      <c r="P166" s="5" t="n"/>
      <c r="Q166" s="6" t="n"/>
      <c r="R166" s="66" t="n"/>
      <c r="S166" s="5" t="n"/>
      <c r="T166" s="5" t="n"/>
      <c r="U166" s="5" t="n"/>
      <c r="V166" s="5" t="n"/>
      <c r="W166" s="5" t="n"/>
      <c r="X166" s="6" t="n"/>
      <c r="Y166" s="66" t="n"/>
      <c r="Z166" s="5" t="n"/>
      <c r="AA166" s="5" t="n"/>
      <c r="AB166" s="5" t="n"/>
      <c r="AC166" s="5" t="n"/>
      <c r="AD166" s="6" t="n"/>
      <c r="AE166" s="67" t="n"/>
      <c r="AF166" s="6" t="n"/>
      <c r="AG166" s="67" t="n"/>
      <c r="AH166" s="6" t="n"/>
      <c r="AI166" s="67" t="n"/>
      <c r="AJ166" s="6" t="n"/>
      <c r="AK166" s="67" t="n"/>
      <c r="AL166" s="6" t="n"/>
      <c r="AM166" s="67" t="n"/>
      <c r="AN166" s="5" t="n"/>
      <c r="AO166" s="6" t="n"/>
      <c r="AP166" s="67" t="n"/>
      <c r="AQ166" s="6" t="n"/>
      <c r="AR166" s="66" t="n"/>
      <c r="AS166" s="5" t="n"/>
      <c r="AT166" s="6" t="n"/>
      <c r="AU166" s="67" t="n"/>
      <c r="AV166" s="6" t="n"/>
      <c r="AW166" s="67" t="n"/>
      <c r="AX166" s="6" t="n"/>
      <c r="AY166" s="67" t="n"/>
      <c r="AZ166" s="6" t="n"/>
      <c r="BA166" s="67" t="n"/>
      <c r="BB166" s="5" t="n"/>
      <c r="BC166" s="6" t="n"/>
      <c r="BD166" s="67" t="n"/>
      <c r="BE166" s="6" t="n"/>
      <c r="BF166" s="66" t="n"/>
      <c r="BG166" s="5" t="n"/>
      <c r="BH166" s="6" t="n"/>
      <c r="BI166" s="68" t="n"/>
      <c r="BJ166" s="5" t="n"/>
      <c r="BK166" s="42" t="n"/>
    </row>
    <row r="167" ht="20" customHeight="1">
      <c r="A167" s="61" t="n"/>
      <c r="B167" s="6" t="n"/>
      <c r="C167" s="62" t="n"/>
      <c r="D167" s="5" t="n"/>
      <c r="E167" s="5" t="n"/>
      <c r="F167" s="6" t="n"/>
      <c r="G167" s="62" t="n"/>
      <c r="H167" s="5" t="n"/>
      <c r="I167" s="6" t="n"/>
      <c r="J167" s="62" t="n"/>
      <c r="K167" s="5" t="n"/>
      <c r="L167" s="6" t="n"/>
      <c r="M167" s="62" t="n"/>
      <c r="N167" s="5" t="n"/>
      <c r="O167" s="5" t="n"/>
      <c r="P167" s="5" t="n"/>
      <c r="Q167" s="6" t="n"/>
      <c r="R167" s="62" t="n"/>
      <c r="S167" s="5" t="n"/>
      <c r="T167" s="5" t="n"/>
      <c r="U167" s="5" t="n"/>
      <c r="V167" s="5" t="n"/>
      <c r="W167" s="5" t="n"/>
      <c r="X167" s="6" t="n"/>
      <c r="Y167" s="62" t="n"/>
      <c r="Z167" s="5" t="n"/>
      <c r="AA167" s="5" t="n"/>
      <c r="AB167" s="5" t="n"/>
      <c r="AC167" s="5" t="n"/>
      <c r="AD167" s="6" t="n"/>
      <c r="AE167" s="63" t="n"/>
      <c r="AF167" s="6" t="n"/>
      <c r="AG167" s="63" t="n"/>
      <c r="AH167" s="6" t="n"/>
      <c r="AI167" s="63" t="n"/>
      <c r="AJ167" s="6" t="n"/>
      <c r="AK167" s="63" t="n"/>
      <c r="AL167" s="6" t="n"/>
      <c r="AM167" s="63" t="n"/>
      <c r="AN167" s="5" t="n"/>
      <c r="AO167" s="6" t="n"/>
      <c r="AP167" s="63" t="n"/>
      <c r="AQ167" s="6" t="n"/>
      <c r="AR167" s="62" t="n"/>
      <c r="AS167" s="5" t="n"/>
      <c r="AT167" s="6" t="n"/>
      <c r="AU167" s="63" t="n"/>
      <c r="AV167" s="6" t="n"/>
      <c r="AW167" s="63" t="n"/>
      <c r="AX167" s="6" t="n"/>
      <c r="AY167" s="63" t="n"/>
      <c r="AZ167" s="6" t="n"/>
      <c r="BA167" s="63" t="n"/>
      <c r="BB167" s="5" t="n"/>
      <c r="BC167" s="6" t="n"/>
      <c r="BD167" s="63" t="n"/>
      <c r="BE167" s="6" t="n"/>
      <c r="BF167" s="62" t="n"/>
      <c r="BG167" s="5" t="n"/>
      <c r="BH167" s="6" t="n"/>
      <c r="BI167" s="64" t="n"/>
      <c r="BJ167" s="5" t="n"/>
      <c r="BK167" s="42" t="n"/>
    </row>
    <row r="168" ht="20" customHeight="1">
      <c r="A168" s="65" t="n"/>
      <c r="B168" s="6" t="n"/>
      <c r="C168" s="66" t="n"/>
      <c r="D168" s="5" t="n"/>
      <c r="E168" s="5" t="n"/>
      <c r="F168" s="6" t="n"/>
      <c r="G168" s="66" t="n"/>
      <c r="H168" s="5" t="n"/>
      <c r="I168" s="6" t="n"/>
      <c r="J168" s="66" t="n"/>
      <c r="K168" s="5" t="n"/>
      <c r="L168" s="6" t="n"/>
      <c r="M168" s="66" t="n"/>
      <c r="N168" s="5" t="n"/>
      <c r="O168" s="5" t="n"/>
      <c r="P168" s="5" t="n"/>
      <c r="Q168" s="6" t="n"/>
      <c r="R168" s="66" t="n"/>
      <c r="S168" s="5" t="n"/>
      <c r="T168" s="5" t="n"/>
      <c r="U168" s="5" t="n"/>
      <c r="V168" s="5" t="n"/>
      <c r="W168" s="5" t="n"/>
      <c r="X168" s="6" t="n"/>
      <c r="Y168" s="66" t="n"/>
      <c r="Z168" s="5" t="n"/>
      <c r="AA168" s="5" t="n"/>
      <c r="AB168" s="5" t="n"/>
      <c r="AC168" s="5" t="n"/>
      <c r="AD168" s="6" t="n"/>
      <c r="AE168" s="67" t="n"/>
      <c r="AF168" s="6" t="n"/>
      <c r="AG168" s="67" t="n"/>
      <c r="AH168" s="6" t="n"/>
      <c r="AI168" s="67" t="n"/>
      <c r="AJ168" s="6" t="n"/>
      <c r="AK168" s="67" t="n"/>
      <c r="AL168" s="6" t="n"/>
      <c r="AM168" s="67" t="n"/>
      <c r="AN168" s="5" t="n"/>
      <c r="AO168" s="6" t="n"/>
      <c r="AP168" s="67" t="n"/>
      <c r="AQ168" s="6" t="n"/>
      <c r="AR168" s="66" t="n"/>
      <c r="AS168" s="5" t="n"/>
      <c r="AT168" s="6" t="n"/>
      <c r="AU168" s="67" t="n"/>
      <c r="AV168" s="6" t="n"/>
      <c r="AW168" s="67" t="n"/>
      <c r="AX168" s="6" t="n"/>
      <c r="AY168" s="67" t="n"/>
      <c r="AZ168" s="6" t="n"/>
      <c r="BA168" s="67" t="n"/>
      <c r="BB168" s="5" t="n"/>
      <c r="BC168" s="6" t="n"/>
      <c r="BD168" s="67" t="n"/>
      <c r="BE168" s="6" t="n"/>
      <c r="BF168" s="66" t="n"/>
      <c r="BG168" s="5" t="n"/>
      <c r="BH168" s="6" t="n"/>
      <c r="BI168" s="68" t="n"/>
      <c r="BJ168" s="5" t="n"/>
      <c r="BK168" s="42" t="n"/>
    </row>
    <row r="169" ht="20" customHeight="1">
      <c r="A169" s="61" t="n"/>
      <c r="B169" s="6" t="n"/>
      <c r="C169" s="62" t="n"/>
      <c r="D169" s="5" t="n"/>
      <c r="E169" s="5" t="n"/>
      <c r="F169" s="6" t="n"/>
      <c r="G169" s="62" t="n"/>
      <c r="H169" s="5" t="n"/>
      <c r="I169" s="6" t="n"/>
      <c r="J169" s="62" t="n"/>
      <c r="K169" s="5" t="n"/>
      <c r="L169" s="6" t="n"/>
      <c r="M169" s="62" t="n"/>
      <c r="N169" s="5" t="n"/>
      <c r="O169" s="5" t="n"/>
      <c r="P169" s="5" t="n"/>
      <c r="Q169" s="6" t="n"/>
      <c r="R169" s="62" t="n"/>
      <c r="S169" s="5" t="n"/>
      <c r="T169" s="5" t="n"/>
      <c r="U169" s="5" t="n"/>
      <c r="V169" s="5" t="n"/>
      <c r="W169" s="5" t="n"/>
      <c r="X169" s="6" t="n"/>
      <c r="Y169" s="62" t="n"/>
      <c r="Z169" s="5" t="n"/>
      <c r="AA169" s="5" t="n"/>
      <c r="AB169" s="5" t="n"/>
      <c r="AC169" s="5" t="n"/>
      <c r="AD169" s="6" t="n"/>
      <c r="AE169" s="63" t="n"/>
      <c r="AF169" s="6" t="n"/>
      <c r="AG169" s="63" t="n"/>
      <c r="AH169" s="6" t="n"/>
      <c r="AI169" s="63" t="n"/>
      <c r="AJ169" s="6" t="n"/>
      <c r="AK169" s="63" t="n"/>
      <c r="AL169" s="6" t="n"/>
      <c r="AM169" s="63" t="n"/>
      <c r="AN169" s="5" t="n"/>
      <c r="AO169" s="6" t="n"/>
      <c r="AP169" s="63" t="n"/>
      <c r="AQ169" s="6" t="n"/>
      <c r="AR169" s="62" t="n"/>
      <c r="AS169" s="5" t="n"/>
      <c r="AT169" s="6" t="n"/>
      <c r="AU169" s="63" t="n"/>
      <c r="AV169" s="6" t="n"/>
      <c r="AW169" s="63" t="n"/>
      <c r="AX169" s="6" t="n"/>
      <c r="AY169" s="63" t="n"/>
      <c r="AZ169" s="6" t="n"/>
      <c r="BA169" s="63" t="n"/>
      <c r="BB169" s="5" t="n"/>
      <c r="BC169" s="6" t="n"/>
      <c r="BD169" s="63" t="n"/>
      <c r="BE169" s="6" t="n"/>
      <c r="BF169" s="62" t="n"/>
      <c r="BG169" s="5" t="n"/>
      <c r="BH169" s="6" t="n"/>
      <c r="BI169" s="64" t="n"/>
      <c r="BJ169" s="5" t="n"/>
      <c r="BK169" s="42" t="n"/>
    </row>
    <row r="170" ht="20" customHeight="1">
      <c r="A170" s="65" t="n"/>
      <c r="B170" s="6" t="n"/>
      <c r="C170" s="66" t="n"/>
      <c r="D170" s="5" t="n"/>
      <c r="E170" s="5" t="n"/>
      <c r="F170" s="6" t="n"/>
      <c r="G170" s="66" t="n"/>
      <c r="H170" s="5" t="n"/>
      <c r="I170" s="6" t="n"/>
      <c r="J170" s="66" t="n"/>
      <c r="K170" s="5" t="n"/>
      <c r="L170" s="6" t="n"/>
      <c r="M170" s="66" t="n"/>
      <c r="N170" s="5" t="n"/>
      <c r="O170" s="5" t="n"/>
      <c r="P170" s="5" t="n"/>
      <c r="Q170" s="6" t="n"/>
      <c r="R170" s="66" t="n"/>
      <c r="S170" s="5" t="n"/>
      <c r="T170" s="5" t="n"/>
      <c r="U170" s="5" t="n"/>
      <c r="V170" s="5" t="n"/>
      <c r="W170" s="5" t="n"/>
      <c r="X170" s="6" t="n"/>
      <c r="Y170" s="66" t="n"/>
      <c r="Z170" s="5" t="n"/>
      <c r="AA170" s="5" t="n"/>
      <c r="AB170" s="5" t="n"/>
      <c r="AC170" s="5" t="n"/>
      <c r="AD170" s="6" t="n"/>
      <c r="AE170" s="67" t="n"/>
      <c r="AF170" s="6" t="n"/>
      <c r="AG170" s="67" t="n"/>
      <c r="AH170" s="6" t="n"/>
      <c r="AI170" s="67" t="n"/>
      <c r="AJ170" s="6" t="n"/>
      <c r="AK170" s="67" t="n"/>
      <c r="AL170" s="6" t="n"/>
      <c r="AM170" s="67" t="n"/>
      <c r="AN170" s="5" t="n"/>
      <c r="AO170" s="6" t="n"/>
      <c r="AP170" s="67" t="n"/>
      <c r="AQ170" s="6" t="n"/>
      <c r="AR170" s="66" t="n"/>
      <c r="AS170" s="5" t="n"/>
      <c r="AT170" s="6" t="n"/>
      <c r="AU170" s="67" t="n"/>
      <c r="AV170" s="6" t="n"/>
      <c r="AW170" s="67" t="n"/>
      <c r="AX170" s="6" t="n"/>
      <c r="AY170" s="67" t="n"/>
      <c r="AZ170" s="6" t="n"/>
      <c r="BA170" s="67" t="n"/>
      <c r="BB170" s="5" t="n"/>
      <c r="BC170" s="6" t="n"/>
      <c r="BD170" s="67" t="n"/>
      <c r="BE170" s="6" t="n"/>
      <c r="BF170" s="66" t="n"/>
      <c r="BG170" s="5" t="n"/>
      <c r="BH170" s="6" t="n"/>
      <c r="BI170" s="68" t="n"/>
      <c r="BJ170" s="5" t="n"/>
      <c r="BK170" s="42" t="n"/>
    </row>
    <row r="171" ht="20" customHeight="1">
      <c r="A171" s="61" t="n"/>
      <c r="B171" s="6" t="n"/>
      <c r="C171" s="62" t="n"/>
      <c r="D171" s="5" t="n"/>
      <c r="E171" s="5" t="n"/>
      <c r="F171" s="6" t="n"/>
      <c r="G171" s="62" t="n"/>
      <c r="H171" s="5" t="n"/>
      <c r="I171" s="6" t="n"/>
      <c r="J171" s="62" t="n"/>
      <c r="K171" s="5" t="n"/>
      <c r="L171" s="6" t="n"/>
      <c r="M171" s="62" t="n"/>
      <c r="N171" s="5" t="n"/>
      <c r="O171" s="5" t="n"/>
      <c r="P171" s="5" t="n"/>
      <c r="Q171" s="6" t="n"/>
      <c r="R171" s="62" t="n"/>
      <c r="S171" s="5" t="n"/>
      <c r="T171" s="5" t="n"/>
      <c r="U171" s="5" t="n"/>
      <c r="V171" s="5" t="n"/>
      <c r="W171" s="5" t="n"/>
      <c r="X171" s="6" t="n"/>
      <c r="Y171" s="62" t="n"/>
      <c r="Z171" s="5" t="n"/>
      <c r="AA171" s="5" t="n"/>
      <c r="AB171" s="5" t="n"/>
      <c r="AC171" s="5" t="n"/>
      <c r="AD171" s="6" t="n"/>
      <c r="AE171" s="63" t="n"/>
      <c r="AF171" s="6" t="n"/>
      <c r="AG171" s="63" t="n"/>
      <c r="AH171" s="6" t="n"/>
      <c r="AI171" s="63" t="n"/>
      <c r="AJ171" s="6" t="n"/>
      <c r="AK171" s="63" t="n"/>
      <c r="AL171" s="6" t="n"/>
      <c r="AM171" s="63" t="n"/>
      <c r="AN171" s="5" t="n"/>
      <c r="AO171" s="6" t="n"/>
      <c r="AP171" s="63" t="n"/>
      <c r="AQ171" s="6" t="n"/>
      <c r="AR171" s="62" t="n"/>
      <c r="AS171" s="5" t="n"/>
      <c r="AT171" s="6" t="n"/>
      <c r="AU171" s="63" t="n"/>
      <c r="AV171" s="6" t="n"/>
      <c r="AW171" s="63" t="n"/>
      <c r="AX171" s="6" t="n"/>
      <c r="AY171" s="63" t="n"/>
      <c r="AZ171" s="6" t="n"/>
      <c r="BA171" s="63" t="n"/>
      <c r="BB171" s="5" t="n"/>
      <c r="BC171" s="6" t="n"/>
      <c r="BD171" s="63" t="n"/>
      <c r="BE171" s="6" t="n"/>
      <c r="BF171" s="62" t="n"/>
      <c r="BG171" s="5" t="n"/>
      <c r="BH171" s="6" t="n"/>
      <c r="BI171" s="64" t="n"/>
      <c r="BJ171" s="5" t="n"/>
      <c r="BK171" s="42" t="n"/>
    </row>
    <row r="172" ht="20" customHeight="1">
      <c r="A172" s="65" t="n"/>
      <c r="B172" s="6" t="n"/>
      <c r="C172" s="66" t="n"/>
      <c r="D172" s="5" t="n"/>
      <c r="E172" s="5" t="n"/>
      <c r="F172" s="6" t="n"/>
      <c r="G172" s="66" t="n"/>
      <c r="H172" s="5" t="n"/>
      <c r="I172" s="6" t="n"/>
      <c r="J172" s="66" t="n"/>
      <c r="K172" s="5" t="n"/>
      <c r="L172" s="6" t="n"/>
      <c r="M172" s="66" t="n"/>
      <c r="N172" s="5" t="n"/>
      <c r="O172" s="5" t="n"/>
      <c r="P172" s="5" t="n"/>
      <c r="Q172" s="6" t="n"/>
      <c r="R172" s="66" t="n"/>
      <c r="S172" s="5" t="n"/>
      <c r="T172" s="5" t="n"/>
      <c r="U172" s="5" t="n"/>
      <c r="V172" s="5" t="n"/>
      <c r="W172" s="5" t="n"/>
      <c r="X172" s="6" t="n"/>
      <c r="Y172" s="66" t="n"/>
      <c r="Z172" s="5" t="n"/>
      <c r="AA172" s="5" t="n"/>
      <c r="AB172" s="5" t="n"/>
      <c r="AC172" s="5" t="n"/>
      <c r="AD172" s="6" t="n"/>
      <c r="AE172" s="67" t="n"/>
      <c r="AF172" s="6" t="n"/>
      <c r="AG172" s="67" t="n"/>
      <c r="AH172" s="6" t="n"/>
      <c r="AI172" s="67" t="n"/>
      <c r="AJ172" s="6" t="n"/>
      <c r="AK172" s="67" t="n"/>
      <c r="AL172" s="6" t="n"/>
      <c r="AM172" s="67" t="n"/>
      <c r="AN172" s="5" t="n"/>
      <c r="AO172" s="6" t="n"/>
      <c r="AP172" s="67" t="n"/>
      <c r="AQ172" s="6" t="n"/>
      <c r="AR172" s="66" t="n"/>
      <c r="AS172" s="5" t="n"/>
      <c r="AT172" s="6" t="n"/>
      <c r="AU172" s="67" t="n"/>
      <c r="AV172" s="6" t="n"/>
      <c r="AW172" s="67" t="n"/>
      <c r="AX172" s="6" t="n"/>
      <c r="AY172" s="67" t="n"/>
      <c r="AZ172" s="6" t="n"/>
      <c r="BA172" s="67" t="n"/>
      <c r="BB172" s="5" t="n"/>
      <c r="BC172" s="6" t="n"/>
      <c r="BD172" s="67" t="n"/>
      <c r="BE172" s="6" t="n"/>
      <c r="BF172" s="66" t="n"/>
      <c r="BG172" s="5" t="n"/>
      <c r="BH172" s="6" t="n"/>
      <c r="BI172" s="68" t="n"/>
      <c r="BJ172" s="5" t="n"/>
      <c r="BK172" s="42" t="n"/>
    </row>
    <row r="173" ht="20" customHeight="1">
      <c r="A173" s="61" t="n"/>
      <c r="B173" s="6" t="n"/>
      <c r="C173" s="62" t="n"/>
      <c r="D173" s="5" t="n"/>
      <c r="E173" s="5" t="n"/>
      <c r="F173" s="6" t="n"/>
      <c r="G173" s="62" t="n"/>
      <c r="H173" s="5" t="n"/>
      <c r="I173" s="6" t="n"/>
      <c r="J173" s="62" t="n"/>
      <c r="K173" s="5" t="n"/>
      <c r="L173" s="6" t="n"/>
      <c r="M173" s="62" t="n"/>
      <c r="N173" s="5" t="n"/>
      <c r="O173" s="5" t="n"/>
      <c r="P173" s="5" t="n"/>
      <c r="Q173" s="6" t="n"/>
      <c r="R173" s="62" t="n"/>
      <c r="S173" s="5" t="n"/>
      <c r="T173" s="5" t="n"/>
      <c r="U173" s="5" t="n"/>
      <c r="V173" s="5" t="n"/>
      <c r="W173" s="5" t="n"/>
      <c r="X173" s="6" t="n"/>
      <c r="Y173" s="62" t="n"/>
      <c r="Z173" s="5" t="n"/>
      <c r="AA173" s="5" t="n"/>
      <c r="AB173" s="5" t="n"/>
      <c r="AC173" s="5" t="n"/>
      <c r="AD173" s="6" t="n"/>
      <c r="AE173" s="63" t="n"/>
      <c r="AF173" s="6" t="n"/>
      <c r="AG173" s="63" t="n"/>
      <c r="AH173" s="6" t="n"/>
      <c r="AI173" s="63" t="n"/>
      <c r="AJ173" s="6" t="n"/>
      <c r="AK173" s="63" t="n"/>
      <c r="AL173" s="6" t="n"/>
      <c r="AM173" s="63" t="n"/>
      <c r="AN173" s="5" t="n"/>
      <c r="AO173" s="6" t="n"/>
      <c r="AP173" s="63" t="n"/>
      <c r="AQ173" s="6" t="n"/>
      <c r="AR173" s="62" t="n"/>
      <c r="AS173" s="5" t="n"/>
      <c r="AT173" s="6" t="n"/>
      <c r="AU173" s="63" t="n"/>
      <c r="AV173" s="6" t="n"/>
      <c r="AW173" s="63" t="n"/>
      <c r="AX173" s="6" t="n"/>
      <c r="AY173" s="63" t="n"/>
      <c r="AZ173" s="6" t="n"/>
      <c r="BA173" s="63" t="n"/>
      <c r="BB173" s="5" t="n"/>
      <c r="BC173" s="6" t="n"/>
      <c r="BD173" s="63" t="n"/>
      <c r="BE173" s="6" t="n"/>
      <c r="BF173" s="62" t="n"/>
      <c r="BG173" s="5" t="n"/>
      <c r="BH173" s="6" t="n"/>
      <c r="BI173" s="64" t="n"/>
      <c r="BJ173" s="5" t="n"/>
      <c r="BK173" s="42" t="n"/>
    </row>
    <row r="174" ht="20" customHeight="1">
      <c r="A174" s="65" t="n"/>
      <c r="B174" s="6" t="n"/>
      <c r="C174" s="66" t="n"/>
      <c r="D174" s="5" t="n"/>
      <c r="E174" s="5" t="n"/>
      <c r="F174" s="6" t="n"/>
      <c r="G174" s="66" t="n"/>
      <c r="H174" s="5" t="n"/>
      <c r="I174" s="6" t="n"/>
      <c r="J174" s="66" t="n"/>
      <c r="K174" s="5" t="n"/>
      <c r="L174" s="6" t="n"/>
      <c r="M174" s="66" t="n"/>
      <c r="N174" s="5" t="n"/>
      <c r="O174" s="5" t="n"/>
      <c r="P174" s="5" t="n"/>
      <c r="Q174" s="6" t="n"/>
      <c r="R174" s="66" t="n"/>
      <c r="S174" s="5" t="n"/>
      <c r="T174" s="5" t="n"/>
      <c r="U174" s="5" t="n"/>
      <c r="V174" s="5" t="n"/>
      <c r="W174" s="5" t="n"/>
      <c r="X174" s="6" t="n"/>
      <c r="Y174" s="66" t="n"/>
      <c r="Z174" s="5" t="n"/>
      <c r="AA174" s="5" t="n"/>
      <c r="AB174" s="5" t="n"/>
      <c r="AC174" s="5" t="n"/>
      <c r="AD174" s="6" t="n"/>
      <c r="AE174" s="67" t="n"/>
      <c r="AF174" s="6" t="n"/>
      <c r="AG174" s="67" t="n"/>
      <c r="AH174" s="6" t="n"/>
      <c r="AI174" s="67" t="n"/>
      <c r="AJ174" s="6" t="n"/>
      <c r="AK174" s="67" t="n"/>
      <c r="AL174" s="6" t="n"/>
      <c r="AM174" s="67" t="n"/>
      <c r="AN174" s="5" t="n"/>
      <c r="AO174" s="6" t="n"/>
      <c r="AP174" s="67" t="n"/>
      <c r="AQ174" s="6" t="n"/>
      <c r="AR174" s="66" t="n"/>
      <c r="AS174" s="5" t="n"/>
      <c r="AT174" s="6" t="n"/>
      <c r="AU174" s="67" t="n"/>
      <c r="AV174" s="6" t="n"/>
      <c r="AW174" s="67" t="n"/>
      <c r="AX174" s="6" t="n"/>
      <c r="AY174" s="67" t="n"/>
      <c r="AZ174" s="6" t="n"/>
      <c r="BA174" s="67" t="n"/>
      <c r="BB174" s="5" t="n"/>
      <c r="BC174" s="6" t="n"/>
      <c r="BD174" s="67" t="n"/>
      <c r="BE174" s="6" t="n"/>
      <c r="BF174" s="66" t="n"/>
      <c r="BG174" s="5" t="n"/>
      <c r="BH174" s="6" t="n"/>
      <c r="BI174" s="68" t="n"/>
      <c r="BJ174" s="5" t="n"/>
      <c r="BK174" s="42" t="n"/>
    </row>
    <row r="175" ht="20" customHeight="1">
      <c r="A175" s="61" t="n"/>
      <c r="B175" s="6" t="n"/>
      <c r="C175" s="62" t="n"/>
      <c r="D175" s="5" t="n"/>
      <c r="E175" s="5" t="n"/>
      <c r="F175" s="6" t="n"/>
      <c r="G175" s="62" t="n"/>
      <c r="H175" s="5" t="n"/>
      <c r="I175" s="6" t="n"/>
      <c r="J175" s="62" t="n"/>
      <c r="K175" s="5" t="n"/>
      <c r="L175" s="6" t="n"/>
      <c r="M175" s="62" t="n"/>
      <c r="N175" s="5" t="n"/>
      <c r="O175" s="5" t="n"/>
      <c r="P175" s="5" t="n"/>
      <c r="Q175" s="6" t="n"/>
      <c r="R175" s="62" t="n"/>
      <c r="S175" s="5" t="n"/>
      <c r="T175" s="5" t="n"/>
      <c r="U175" s="5" t="n"/>
      <c r="V175" s="5" t="n"/>
      <c r="W175" s="5" t="n"/>
      <c r="X175" s="6" t="n"/>
      <c r="Y175" s="62" t="n"/>
      <c r="Z175" s="5" t="n"/>
      <c r="AA175" s="5" t="n"/>
      <c r="AB175" s="5" t="n"/>
      <c r="AC175" s="5" t="n"/>
      <c r="AD175" s="6" t="n"/>
      <c r="AE175" s="63" t="n"/>
      <c r="AF175" s="6" t="n"/>
      <c r="AG175" s="63" t="n"/>
      <c r="AH175" s="6" t="n"/>
      <c r="AI175" s="63" t="n"/>
      <c r="AJ175" s="6" t="n"/>
      <c r="AK175" s="63" t="n"/>
      <c r="AL175" s="6" t="n"/>
      <c r="AM175" s="63" t="n"/>
      <c r="AN175" s="5" t="n"/>
      <c r="AO175" s="6" t="n"/>
      <c r="AP175" s="63" t="n"/>
      <c r="AQ175" s="6" t="n"/>
      <c r="AR175" s="62" t="n"/>
      <c r="AS175" s="5" t="n"/>
      <c r="AT175" s="6" t="n"/>
      <c r="AU175" s="63" t="n"/>
      <c r="AV175" s="6" t="n"/>
      <c r="AW175" s="63" t="n"/>
      <c r="AX175" s="6" t="n"/>
      <c r="AY175" s="63" t="n"/>
      <c r="AZ175" s="6" t="n"/>
      <c r="BA175" s="63" t="n"/>
      <c r="BB175" s="5" t="n"/>
      <c r="BC175" s="6" t="n"/>
      <c r="BD175" s="63" t="n"/>
      <c r="BE175" s="6" t="n"/>
      <c r="BF175" s="62" t="n"/>
      <c r="BG175" s="5" t="n"/>
      <c r="BH175" s="6" t="n"/>
      <c r="BI175" s="64" t="n"/>
      <c r="BJ175" s="5" t="n"/>
      <c r="BK175" s="42" t="n"/>
    </row>
    <row r="176" ht="20" customHeight="1">
      <c r="A176" s="65" t="n"/>
      <c r="B176" s="6" t="n"/>
      <c r="C176" s="66" t="n"/>
      <c r="D176" s="5" t="n"/>
      <c r="E176" s="5" t="n"/>
      <c r="F176" s="6" t="n"/>
      <c r="G176" s="66" t="n"/>
      <c r="H176" s="5" t="n"/>
      <c r="I176" s="6" t="n"/>
      <c r="J176" s="66" t="n"/>
      <c r="K176" s="5" t="n"/>
      <c r="L176" s="6" t="n"/>
      <c r="M176" s="66" t="n"/>
      <c r="N176" s="5" t="n"/>
      <c r="O176" s="5" t="n"/>
      <c r="P176" s="5" t="n"/>
      <c r="Q176" s="6" t="n"/>
      <c r="R176" s="66" t="n"/>
      <c r="S176" s="5" t="n"/>
      <c r="T176" s="5" t="n"/>
      <c r="U176" s="5" t="n"/>
      <c r="V176" s="5" t="n"/>
      <c r="W176" s="5" t="n"/>
      <c r="X176" s="6" t="n"/>
      <c r="Y176" s="66" t="n"/>
      <c r="Z176" s="5" t="n"/>
      <c r="AA176" s="5" t="n"/>
      <c r="AB176" s="5" t="n"/>
      <c r="AC176" s="5" t="n"/>
      <c r="AD176" s="6" t="n"/>
      <c r="AE176" s="67" t="n"/>
      <c r="AF176" s="6" t="n"/>
      <c r="AG176" s="67" t="n"/>
      <c r="AH176" s="6" t="n"/>
      <c r="AI176" s="67" t="n"/>
      <c r="AJ176" s="6" t="n"/>
      <c r="AK176" s="67" t="n"/>
      <c r="AL176" s="6" t="n"/>
      <c r="AM176" s="67" t="n"/>
      <c r="AN176" s="5" t="n"/>
      <c r="AO176" s="6" t="n"/>
      <c r="AP176" s="67" t="n"/>
      <c r="AQ176" s="6" t="n"/>
      <c r="AR176" s="66" t="n"/>
      <c r="AS176" s="5" t="n"/>
      <c r="AT176" s="6" t="n"/>
      <c r="AU176" s="67" t="n"/>
      <c r="AV176" s="6" t="n"/>
      <c r="AW176" s="67" t="n"/>
      <c r="AX176" s="6" t="n"/>
      <c r="AY176" s="67" t="n"/>
      <c r="AZ176" s="6" t="n"/>
      <c r="BA176" s="67" t="n"/>
      <c r="BB176" s="5" t="n"/>
      <c r="BC176" s="6" t="n"/>
      <c r="BD176" s="67" t="n"/>
      <c r="BE176" s="6" t="n"/>
      <c r="BF176" s="66" t="n"/>
      <c r="BG176" s="5" t="n"/>
      <c r="BH176" s="6" t="n"/>
      <c r="BI176" s="68" t="n"/>
      <c r="BJ176" s="5" t="n"/>
      <c r="BK176" s="42" t="n"/>
    </row>
    <row r="177" ht="20" customHeight="1">
      <c r="A177" s="61" t="n"/>
      <c r="B177" s="6" t="n"/>
      <c r="C177" s="62" t="n"/>
      <c r="D177" s="5" t="n"/>
      <c r="E177" s="5" t="n"/>
      <c r="F177" s="6" t="n"/>
      <c r="G177" s="62" t="n"/>
      <c r="H177" s="5" t="n"/>
      <c r="I177" s="6" t="n"/>
      <c r="J177" s="62" t="n"/>
      <c r="K177" s="5" t="n"/>
      <c r="L177" s="6" t="n"/>
      <c r="M177" s="62" t="n"/>
      <c r="N177" s="5" t="n"/>
      <c r="O177" s="5" t="n"/>
      <c r="P177" s="5" t="n"/>
      <c r="Q177" s="6" t="n"/>
      <c r="R177" s="62" t="n"/>
      <c r="S177" s="5" t="n"/>
      <c r="T177" s="5" t="n"/>
      <c r="U177" s="5" t="n"/>
      <c r="V177" s="5" t="n"/>
      <c r="W177" s="5" t="n"/>
      <c r="X177" s="6" t="n"/>
      <c r="Y177" s="62" t="n"/>
      <c r="Z177" s="5" t="n"/>
      <c r="AA177" s="5" t="n"/>
      <c r="AB177" s="5" t="n"/>
      <c r="AC177" s="5" t="n"/>
      <c r="AD177" s="6" t="n"/>
      <c r="AE177" s="63" t="n"/>
      <c r="AF177" s="6" t="n"/>
      <c r="AG177" s="63" t="n"/>
      <c r="AH177" s="6" t="n"/>
      <c r="AI177" s="63" t="n"/>
      <c r="AJ177" s="6" t="n"/>
      <c r="AK177" s="63" t="n"/>
      <c r="AL177" s="6" t="n"/>
      <c r="AM177" s="63" t="n"/>
      <c r="AN177" s="5" t="n"/>
      <c r="AO177" s="6" t="n"/>
      <c r="AP177" s="63" t="n"/>
      <c r="AQ177" s="6" t="n"/>
      <c r="AR177" s="62" t="n"/>
      <c r="AS177" s="5" t="n"/>
      <c r="AT177" s="6" t="n"/>
      <c r="AU177" s="63" t="n"/>
      <c r="AV177" s="6" t="n"/>
      <c r="AW177" s="63" t="n"/>
      <c r="AX177" s="6" t="n"/>
      <c r="AY177" s="63" t="n"/>
      <c r="AZ177" s="6" t="n"/>
      <c r="BA177" s="63" t="n"/>
      <c r="BB177" s="5" t="n"/>
      <c r="BC177" s="6" t="n"/>
      <c r="BD177" s="63" t="n"/>
      <c r="BE177" s="6" t="n"/>
      <c r="BF177" s="62" t="n"/>
      <c r="BG177" s="5" t="n"/>
      <c r="BH177" s="6" t="n"/>
      <c r="BI177" s="64" t="n"/>
      <c r="BJ177" s="5" t="n"/>
      <c r="BK177" s="42" t="n"/>
    </row>
    <row r="178" ht="20" customHeight="1">
      <c r="A178" s="65" t="n"/>
      <c r="B178" s="6" t="n"/>
      <c r="C178" s="66" t="n"/>
      <c r="D178" s="5" t="n"/>
      <c r="E178" s="5" t="n"/>
      <c r="F178" s="6" t="n"/>
      <c r="G178" s="66" t="n"/>
      <c r="H178" s="5" t="n"/>
      <c r="I178" s="6" t="n"/>
      <c r="J178" s="66" t="n"/>
      <c r="K178" s="5" t="n"/>
      <c r="L178" s="6" t="n"/>
      <c r="M178" s="66" t="n"/>
      <c r="N178" s="5" t="n"/>
      <c r="O178" s="5" t="n"/>
      <c r="P178" s="5" t="n"/>
      <c r="Q178" s="6" t="n"/>
      <c r="R178" s="66" t="n"/>
      <c r="S178" s="5" t="n"/>
      <c r="T178" s="5" t="n"/>
      <c r="U178" s="5" t="n"/>
      <c r="V178" s="5" t="n"/>
      <c r="W178" s="5" t="n"/>
      <c r="X178" s="6" t="n"/>
      <c r="Y178" s="66" t="n"/>
      <c r="Z178" s="5" t="n"/>
      <c r="AA178" s="5" t="n"/>
      <c r="AB178" s="5" t="n"/>
      <c r="AC178" s="5" t="n"/>
      <c r="AD178" s="6" t="n"/>
      <c r="AE178" s="67" t="n"/>
      <c r="AF178" s="6" t="n"/>
      <c r="AG178" s="67" t="n"/>
      <c r="AH178" s="6" t="n"/>
      <c r="AI178" s="67" t="n"/>
      <c r="AJ178" s="6" t="n"/>
      <c r="AK178" s="67" t="n"/>
      <c r="AL178" s="6" t="n"/>
      <c r="AM178" s="67" t="n"/>
      <c r="AN178" s="5" t="n"/>
      <c r="AO178" s="6" t="n"/>
      <c r="AP178" s="67" t="n"/>
      <c r="AQ178" s="6" t="n"/>
      <c r="AR178" s="66" t="n"/>
      <c r="AS178" s="5" t="n"/>
      <c r="AT178" s="6" t="n"/>
      <c r="AU178" s="67" t="n"/>
      <c r="AV178" s="6" t="n"/>
      <c r="AW178" s="67" t="n"/>
      <c r="AX178" s="6" t="n"/>
      <c r="AY178" s="67" t="n"/>
      <c r="AZ178" s="6" t="n"/>
      <c r="BA178" s="67" t="n"/>
      <c r="BB178" s="5" t="n"/>
      <c r="BC178" s="6" t="n"/>
      <c r="BD178" s="67" t="n"/>
      <c r="BE178" s="6" t="n"/>
      <c r="BF178" s="66" t="n"/>
      <c r="BG178" s="5" t="n"/>
      <c r="BH178" s="6" t="n"/>
      <c r="BI178" s="68" t="n"/>
      <c r="BJ178" s="5" t="n"/>
      <c r="BK178" s="42" t="n"/>
    </row>
    <row r="179" ht="20" customHeight="1">
      <c r="A179" s="61" t="n"/>
      <c r="B179" s="6" t="n"/>
      <c r="C179" s="62" t="n"/>
      <c r="D179" s="5" t="n"/>
      <c r="E179" s="5" t="n"/>
      <c r="F179" s="6" t="n"/>
      <c r="G179" s="62" t="n"/>
      <c r="H179" s="5" t="n"/>
      <c r="I179" s="6" t="n"/>
      <c r="J179" s="62" t="n"/>
      <c r="K179" s="5" t="n"/>
      <c r="L179" s="6" t="n"/>
      <c r="M179" s="62" t="n"/>
      <c r="N179" s="5" t="n"/>
      <c r="O179" s="5" t="n"/>
      <c r="P179" s="5" t="n"/>
      <c r="Q179" s="6" t="n"/>
      <c r="R179" s="62" t="n"/>
      <c r="S179" s="5" t="n"/>
      <c r="T179" s="5" t="n"/>
      <c r="U179" s="5" t="n"/>
      <c r="V179" s="5" t="n"/>
      <c r="W179" s="5" t="n"/>
      <c r="X179" s="6" t="n"/>
      <c r="Y179" s="62" t="n"/>
      <c r="Z179" s="5" t="n"/>
      <c r="AA179" s="5" t="n"/>
      <c r="AB179" s="5" t="n"/>
      <c r="AC179" s="5" t="n"/>
      <c r="AD179" s="6" t="n"/>
      <c r="AE179" s="63" t="n"/>
      <c r="AF179" s="6" t="n"/>
      <c r="AG179" s="63" t="n"/>
      <c r="AH179" s="6" t="n"/>
      <c r="AI179" s="63" t="n"/>
      <c r="AJ179" s="6" t="n"/>
      <c r="AK179" s="63" t="n"/>
      <c r="AL179" s="6" t="n"/>
      <c r="AM179" s="63" t="n"/>
      <c r="AN179" s="5" t="n"/>
      <c r="AO179" s="6" t="n"/>
      <c r="AP179" s="63" t="n"/>
      <c r="AQ179" s="6" t="n"/>
      <c r="AR179" s="62" t="n"/>
      <c r="AS179" s="5" t="n"/>
      <c r="AT179" s="6" t="n"/>
      <c r="AU179" s="63" t="n"/>
      <c r="AV179" s="6" t="n"/>
      <c r="AW179" s="63" t="n"/>
      <c r="AX179" s="6" t="n"/>
      <c r="AY179" s="63" t="n"/>
      <c r="AZ179" s="6" t="n"/>
      <c r="BA179" s="63" t="n"/>
      <c r="BB179" s="5" t="n"/>
      <c r="BC179" s="6" t="n"/>
      <c r="BD179" s="63" t="n"/>
      <c r="BE179" s="6" t="n"/>
      <c r="BF179" s="62" t="n"/>
      <c r="BG179" s="5" t="n"/>
      <c r="BH179" s="6" t="n"/>
      <c r="BI179" s="64" t="n"/>
      <c r="BJ179" s="5" t="n"/>
      <c r="BK179" s="42" t="n"/>
    </row>
    <row r="180" ht="20" customHeight="1">
      <c r="A180" s="65" t="n"/>
      <c r="B180" s="6" t="n"/>
      <c r="C180" s="66" t="n"/>
      <c r="D180" s="5" t="n"/>
      <c r="E180" s="5" t="n"/>
      <c r="F180" s="6" t="n"/>
      <c r="G180" s="66" t="n"/>
      <c r="H180" s="5" t="n"/>
      <c r="I180" s="6" t="n"/>
      <c r="J180" s="66" t="n"/>
      <c r="K180" s="5" t="n"/>
      <c r="L180" s="6" t="n"/>
      <c r="M180" s="66" t="n"/>
      <c r="N180" s="5" t="n"/>
      <c r="O180" s="5" t="n"/>
      <c r="P180" s="5" t="n"/>
      <c r="Q180" s="6" t="n"/>
      <c r="R180" s="66" t="n"/>
      <c r="S180" s="5" t="n"/>
      <c r="T180" s="5" t="n"/>
      <c r="U180" s="5" t="n"/>
      <c r="V180" s="5" t="n"/>
      <c r="W180" s="5" t="n"/>
      <c r="X180" s="6" t="n"/>
      <c r="Y180" s="66" t="n"/>
      <c r="Z180" s="5" t="n"/>
      <c r="AA180" s="5" t="n"/>
      <c r="AB180" s="5" t="n"/>
      <c r="AC180" s="5" t="n"/>
      <c r="AD180" s="6" t="n"/>
      <c r="AE180" s="67" t="n"/>
      <c r="AF180" s="6" t="n"/>
      <c r="AG180" s="67" t="n"/>
      <c r="AH180" s="6" t="n"/>
      <c r="AI180" s="67" t="n"/>
      <c r="AJ180" s="6" t="n"/>
      <c r="AK180" s="67" t="n"/>
      <c r="AL180" s="6" t="n"/>
      <c r="AM180" s="67" t="n"/>
      <c r="AN180" s="5" t="n"/>
      <c r="AO180" s="6" t="n"/>
      <c r="AP180" s="67" t="n"/>
      <c r="AQ180" s="6" t="n"/>
      <c r="AR180" s="66" t="n"/>
      <c r="AS180" s="5" t="n"/>
      <c r="AT180" s="6" t="n"/>
      <c r="AU180" s="67" t="n"/>
      <c r="AV180" s="6" t="n"/>
      <c r="AW180" s="67" t="n"/>
      <c r="AX180" s="6" t="n"/>
      <c r="AY180" s="67" t="n"/>
      <c r="AZ180" s="6" t="n"/>
      <c r="BA180" s="67" t="n"/>
      <c r="BB180" s="5" t="n"/>
      <c r="BC180" s="6" t="n"/>
      <c r="BD180" s="67" t="n"/>
      <c r="BE180" s="6" t="n"/>
      <c r="BF180" s="66" t="n"/>
      <c r="BG180" s="5" t="n"/>
      <c r="BH180" s="6" t="n"/>
      <c r="BI180" s="68" t="n"/>
      <c r="BJ180" s="5" t="n"/>
      <c r="BK180" s="42" t="n"/>
    </row>
    <row r="181" ht="20" customHeight="1">
      <c r="A181" s="61" t="n"/>
      <c r="B181" s="6" t="n"/>
      <c r="C181" s="62" t="n"/>
      <c r="D181" s="5" t="n"/>
      <c r="E181" s="5" t="n"/>
      <c r="F181" s="6" t="n"/>
      <c r="G181" s="62" t="n"/>
      <c r="H181" s="5" t="n"/>
      <c r="I181" s="6" t="n"/>
      <c r="J181" s="62" t="n"/>
      <c r="K181" s="5" t="n"/>
      <c r="L181" s="6" t="n"/>
      <c r="M181" s="62" t="n"/>
      <c r="N181" s="5" t="n"/>
      <c r="O181" s="5" t="n"/>
      <c r="P181" s="5" t="n"/>
      <c r="Q181" s="6" t="n"/>
      <c r="R181" s="62" t="n"/>
      <c r="S181" s="5" t="n"/>
      <c r="T181" s="5" t="n"/>
      <c r="U181" s="5" t="n"/>
      <c r="V181" s="5" t="n"/>
      <c r="W181" s="5" t="n"/>
      <c r="X181" s="6" t="n"/>
      <c r="Y181" s="62" t="n"/>
      <c r="Z181" s="5" t="n"/>
      <c r="AA181" s="5" t="n"/>
      <c r="AB181" s="5" t="n"/>
      <c r="AC181" s="5" t="n"/>
      <c r="AD181" s="6" t="n"/>
      <c r="AE181" s="63" t="n"/>
      <c r="AF181" s="6" t="n"/>
      <c r="AG181" s="63" t="n"/>
      <c r="AH181" s="6" t="n"/>
      <c r="AI181" s="63" t="n"/>
      <c r="AJ181" s="6" t="n"/>
      <c r="AK181" s="63" t="n"/>
      <c r="AL181" s="6" t="n"/>
      <c r="AM181" s="63" t="n"/>
      <c r="AN181" s="5" t="n"/>
      <c r="AO181" s="6" t="n"/>
      <c r="AP181" s="63" t="n"/>
      <c r="AQ181" s="6" t="n"/>
      <c r="AR181" s="62" t="n"/>
      <c r="AS181" s="5" t="n"/>
      <c r="AT181" s="6" t="n"/>
      <c r="AU181" s="63" t="n"/>
      <c r="AV181" s="6" t="n"/>
      <c r="AW181" s="63" t="n"/>
      <c r="AX181" s="6" t="n"/>
      <c r="AY181" s="63" t="n"/>
      <c r="AZ181" s="6" t="n"/>
      <c r="BA181" s="63" t="n"/>
      <c r="BB181" s="5" t="n"/>
      <c r="BC181" s="6" t="n"/>
      <c r="BD181" s="63" t="n"/>
      <c r="BE181" s="6" t="n"/>
      <c r="BF181" s="62" t="n"/>
      <c r="BG181" s="5" t="n"/>
      <c r="BH181" s="6" t="n"/>
      <c r="BI181" s="64" t="n"/>
      <c r="BJ181" s="5" t="n"/>
      <c r="BK181" s="42" t="n"/>
    </row>
    <row r="182" ht="20" customHeight="1">
      <c r="A182" s="65" t="n"/>
      <c r="B182" s="6" t="n"/>
      <c r="C182" s="66" t="n"/>
      <c r="D182" s="5" t="n"/>
      <c r="E182" s="5" t="n"/>
      <c r="F182" s="6" t="n"/>
      <c r="G182" s="66" t="n"/>
      <c r="H182" s="5" t="n"/>
      <c r="I182" s="6" t="n"/>
      <c r="J182" s="66" t="n"/>
      <c r="K182" s="5" t="n"/>
      <c r="L182" s="6" t="n"/>
      <c r="M182" s="66" t="n"/>
      <c r="N182" s="5" t="n"/>
      <c r="O182" s="5" t="n"/>
      <c r="P182" s="5" t="n"/>
      <c r="Q182" s="6" t="n"/>
      <c r="R182" s="66" t="n"/>
      <c r="S182" s="5" t="n"/>
      <c r="T182" s="5" t="n"/>
      <c r="U182" s="5" t="n"/>
      <c r="V182" s="5" t="n"/>
      <c r="W182" s="5" t="n"/>
      <c r="X182" s="6" t="n"/>
      <c r="Y182" s="66" t="n"/>
      <c r="Z182" s="5" t="n"/>
      <c r="AA182" s="5" t="n"/>
      <c r="AB182" s="5" t="n"/>
      <c r="AC182" s="5" t="n"/>
      <c r="AD182" s="6" t="n"/>
      <c r="AE182" s="67" t="n"/>
      <c r="AF182" s="6" t="n"/>
      <c r="AG182" s="67" t="n"/>
      <c r="AH182" s="6" t="n"/>
      <c r="AI182" s="67" t="n"/>
      <c r="AJ182" s="6" t="n"/>
      <c r="AK182" s="67" t="n"/>
      <c r="AL182" s="6" t="n"/>
      <c r="AM182" s="67" t="n"/>
      <c r="AN182" s="5" t="n"/>
      <c r="AO182" s="6" t="n"/>
      <c r="AP182" s="67" t="n"/>
      <c r="AQ182" s="6" t="n"/>
      <c r="AR182" s="66" t="n"/>
      <c r="AS182" s="5" t="n"/>
      <c r="AT182" s="6" t="n"/>
      <c r="AU182" s="67" t="n"/>
      <c r="AV182" s="6" t="n"/>
      <c r="AW182" s="67" t="n"/>
      <c r="AX182" s="6" t="n"/>
      <c r="AY182" s="67" t="n"/>
      <c r="AZ182" s="6" t="n"/>
      <c r="BA182" s="67" t="n"/>
      <c r="BB182" s="5" t="n"/>
      <c r="BC182" s="6" t="n"/>
      <c r="BD182" s="67" t="n"/>
      <c r="BE182" s="6" t="n"/>
      <c r="BF182" s="66" t="n"/>
      <c r="BG182" s="5" t="n"/>
      <c r="BH182" s="6" t="n"/>
      <c r="BI182" s="68" t="n"/>
      <c r="BJ182" s="5" t="n"/>
      <c r="BK182" s="42" t="n"/>
    </row>
    <row r="183" ht="20" customHeight="1">
      <c r="A183" s="61" t="n"/>
      <c r="B183" s="6" t="n"/>
      <c r="C183" s="62" t="n"/>
      <c r="D183" s="5" t="n"/>
      <c r="E183" s="5" t="n"/>
      <c r="F183" s="6" t="n"/>
      <c r="G183" s="62" t="n"/>
      <c r="H183" s="5" t="n"/>
      <c r="I183" s="6" t="n"/>
      <c r="J183" s="62" t="n"/>
      <c r="K183" s="5" t="n"/>
      <c r="L183" s="6" t="n"/>
      <c r="M183" s="62" t="n"/>
      <c r="N183" s="5" t="n"/>
      <c r="O183" s="5" t="n"/>
      <c r="P183" s="5" t="n"/>
      <c r="Q183" s="6" t="n"/>
      <c r="R183" s="62" t="n"/>
      <c r="S183" s="5" t="n"/>
      <c r="T183" s="5" t="n"/>
      <c r="U183" s="5" t="n"/>
      <c r="V183" s="5" t="n"/>
      <c r="W183" s="5" t="n"/>
      <c r="X183" s="6" t="n"/>
      <c r="Y183" s="62" t="n"/>
      <c r="Z183" s="5" t="n"/>
      <c r="AA183" s="5" t="n"/>
      <c r="AB183" s="5" t="n"/>
      <c r="AC183" s="5" t="n"/>
      <c r="AD183" s="6" t="n"/>
      <c r="AE183" s="63" t="n"/>
      <c r="AF183" s="6" t="n"/>
      <c r="AG183" s="63" t="n"/>
      <c r="AH183" s="6" t="n"/>
      <c r="AI183" s="63" t="n"/>
      <c r="AJ183" s="6" t="n"/>
      <c r="AK183" s="63" t="n"/>
      <c r="AL183" s="6" t="n"/>
      <c r="AM183" s="63" t="n"/>
      <c r="AN183" s="5" t="n"/>
      <c r="AO183" s="6" t="n"/>
      <c r="AP183" s="63" t="n"/>
      <c r="AQ183" s="6" t="n"/>
      <c r="AR183" s="62" t="n"/>
      <c r="AS183" s="5" t="n"/>
      <c r="AT183" s="6" t="n"/>
      <c r="AU183" s="63" t="n"/>
      <c r="AV183" s="6" t="n"/>
      <c r="AW183" s="63" t="n"/>
      <c r="AX183" s="6" t="n"/>
      <c r="AY183" s="63" t="n"/>
      <c r="AZ183" s="6" t="n"/>
      <c r="BA183" s="63" t="n"/>
      <c r="BB183" s="5" t="n"/>
      <c r="BC183" s="6" t="n"/>
      <c r="BD183" s="63" t="n"/>
      <c r="BE183" s="6" t="n"/>
      <c r="BF183" s="62" t="n"/>
      <c r="BG183" s="5" t="n"/>
      <c r="BH183" s="6" t="n"/>
      <c r="BI183" s="64" t="n"/>
      <c r="BJ183" s="5" t="n"/>
      <c r="BK183" s="42" t="n"/>
    </row>
    <row r="184" ht="20" customHeight="1">
      <c r="A184" s="65" t="n"/>
      <c r="B184" s="6" t="n"/>
      <c r="C184" s="66" t="n"/>
      <c r="D184" s="5" t="n"/>
      <c r="E184" s="5" t="n"/>
      <c r="F184" s="6" t="n"/>
      <c r="G184" s="66" t="n"/>
      <c r="H184" s="5" t="n"/>
      <c r="I184" s="6" t="n"/>
      <c r="J184" s="66" t="n"/>
      <c r="K184" s="5" t="n"/>
      <c r="L184" s="6" t="n"/>
      <c r="M184" s="66" t="n"/>
      <c r="N184" s="5" t="n"/>
      <c r="O184" s="5" t="n"/>
      <c r="P184" s="5" t="n"/>
      <c r="Q184" s="6" t="n"/>
      <c r="R184" s="66" t="n"/>
      <c r="S184" s="5" t="n"/>
      <c r="T184" s="5" t="n"/>
      <c r="U184" s="5" t="n"/>
      <c r="V184" s="5" t="n"/>
      <c r="W184" s="5" t="n"/>
      <c r="X184" s="6" t="n"/>
      <c r="Y184" s="66" t="n"/>
      <c r="Z184" s="5" t="n"/>
      <c r="AA184" s="5" t="n"/>
      <c r="AB184" s="5" t="n"/>
      <c r="AC184" s="5" t="n"/>
      <c r="AD184" s="6" t="n"/>
      <c r="AE184" s="67" t="n"/>
      <c r="AF184" s="6" t="n"/>
      <c r="AG184" s="67" t="n"/>
      <c r="AH184" s="6" t="n"/>
      <c r="AI184" s="67" t="n"/>
      <c r="AJ184" s="6" t="n"/>
      <c r="AK184" s="67" t="n"/>
      <c r="AL184" s="6" t="n"/>
      <c r="AM184" s="67" t="n"/>
      <c r="AN184" s="5" t="n"/>
      <c r="AO184" s="6" t="n"/>
      <c r="AP184" s="67" t="n"/>
      <c r="AQ184" s="6" t="n"/>
      <c r="AR184" s="66" t="n"/>
      <c r="AS184" s="5" t="n"/>
      <c r="AT184" s="6" t="n"/>
      <c r="AU184" s="67" t="n"/>
      <c r="AV184" s="6" t="n"/>
      <c r="AW184" s="67" t="n"/>
      <c r="AX184" s="6" t="n"/>
      <c r="AY184" s="67" t="n"/>
      <c r="AZ184" s="6" t="n"/>
      <c r="BA184" s="67" t="n"/>
      <c r="BB184" s="5" t="n"/>
      <c r="BC184" s="6" t="n"/>
      <c r="BD184" s="67" t="n"/>
      <c r="BE184" s="6" t="n"/>
      <c r="BF184" s="66" t="n"/>
      <c r="BG184" s="5" t="n"/>
      <c r="BH184" s="6" t="n"/>
      <c r="BI184" s="68" t="n"/>
      <c r="BJ184" s="5" t="n"/>
      <c r="BK184" s="42" t="n"/>
    </row>
    <row r="185" ht="20" customHeight="1">
      <c r="A185" s="61" t="n"/>
      <c r="B185" s="6" t="n"/>
      <c r="C185" s="62" t="n"/>
      <c r="D185" s="5" t="n"/>
      <c r="E185" s="5" t="n"/>
      <c r="F185" s="6" t="n"/>
      <c r="G185" s="62" t="n"/>
      <c r="H185" s="5" t="n"/>
      <c r="I185" s="6" t="n"/>
      <c r="J185" s="62" t="n"/>
      <c r="K185" s="5" t="n"/>
      <c r="L185" s="6" t="n"/>
      <c r="M185" s="62" t="n"/>
      <c r="N185" s="5" t="n"/>
      <c r="O185" s="5" t="n"/>
      <c r="P185" s="5" t="n"/>
      <c r="Q185" s="6" t="n"/>
      <c r="R185" s="62" t="n"/>
      <c r="S185" s="5" t="n"/>
      <c r="T185" s="5" t="n"/>
      <c r="U185" s="5" t="n"/>
      <c r="V185" s="5" t="n"/>
      <c r="W185" s="5" t="n"/>
      <c r="X185" s="6" t="n"/>
      <c r="Y185" s="62" t="n"/>
      <c r="Z185" s="5" t="n"/>
      <c r="AA185" s="5" t="n"/>
      <c r="AB185" s="5" t="n"/>
      <c r="AC185" s="5" t="n"/>
      <c r="AD185" s="6" t="n"/>
      <c r="AE185" s="63" t="n"/>
      <c r="AF185" s="6" t="n"/>
      <c r="AG185" s="63" t="n"/>
      <c r="AH185" s="6" t="n"/>
      <c r="AI185" s="63" t="n"/>
      <c r="AJ185" s="6" t="n"/>
      <c r="AK185" s="63" t="n"/>
      <c r="AL185" s="6" t="n"/>
      <c r="AM185" s="63" t="n"/>
      <c r="AN185" s="5" t="n"/>
      <c r="AO185" s="6" t="n"/>
      <c r="AP185" s="63" t="n"/>
      <c r="AQ185" s="6" t="n"/>
      <c r="AR185" s="62" t="n"/>
      <c r="AS185" s="5" t="n"/>
      <c r="AT185" s="6" t="n"/>
      <c r="AU185" s="63" t="n"/>
      <c r="AV185" s="6" t="n"/>
      <c r="AW185" s="63" t="n"/>
      <c r="AX185" s="6" t="n"/>
      <c r="AY185" s="63" t="n"/>
      <c r="AZ185" s="6" t="n"/>
      <c r="BA185" s="63" t="n"/>
      <c r="BB185" s="5" t="n"/>
      <c r="BC185" s="6" t="n"/>
      <c r="BD185" s="63" t="n"/>
      <c r="BE185" s="6" t="n"/>
      <c r="BF185" s="62" t="n"/>
      <c r="BG185" s="5" t="n"/>
      <c r="BH185" s="6" t="n"/>
      <c r="BI185" s="64" t="n"/>
      <c r="BJ185" s="5" t="n"/>
      <c r="BK185" s="42" t="n"/>
    </row>
    <row r="186" ht="20" customHeight="1">
      <c r="A186" s="65" t="n"/>
      <c r="B186" s="6" t="n"/>
      <c r="C186" s="66" t="n"/>
      <c r="D186" s="5" t="n"/>
      <c r="E186" s="5" t="n"/>
      <c r="F186" s="6" t="n"/>
      <c r="G186" s="66" t="n"/>
      <c r="H186" s="5" t="n"/>
      <c r="I186" s="6" t="n"/>
      <c r="J186" s="66" t="n"/>
      <c r="K186" s="5" t="n"/>
      <c r="L186" s="6" t="n"/>
      <c r="M186" s="66" t="n"/>
      <c r="N186" s="5" t="n"/>
      <c r="O186" s="5" t="n"/>
      <c r="P186" s="5" t="n"/>
      <c r="Q186" s="6" t="n"/>
      <c r="R186" s="66" t="n"/>
      <c r="S186" s="5" t="n"/>
      <c r="T186" s="5" t="n"/>
      <c r="U186" s="5" t="n"/>
      <c r="V186" s="5" t="n"/>
      <c r="W186" s="5" t="n"/>
      <c r="X186" s="6" t="n"/>
      <c r="Y186" s="66" t="n"/>
      <c r="Z186" s="5" t="n"/>
      <c r="AA186" s="5" t="n"/>
      <c r="AB186" s="5" t="n"/>
      <c r="AC186" s="5" t="n"/>
      <c r="AD186" s="6" t="n"/>
      <c r="AE186" s="67" t="n"/>
      <c r="AF186" s="6" t="n"/>
      <c r="AG186" s="67" t="n"/>
      <c r="AH186" s="6" t="n"/>
      <c r="AI186" s="67" t="n"/>
      <c r="AJ186" s="6" t="n"/>
      <c r="AK186" s="67" t="n"/>
      <c r="AL186" s="6" t="n"/>
      <c r="AM186" s="67" t="n"/>
      <c r="AN186" s="5" t="n"/>
      <c r="AO186" s="6" t="n"/>
      <c r="AP186" s="67" t="n"/>
      <c r="AQ186" s="6" t="n"/>
      <c r="AR186" s="66" t="n"/>
      <c r="AS186" s="5" t="n"/>
      <c r="AT186" s="6" t="n"/>
      <c r="AU186" s="67" t="n"/>
      <c r="AV186" s="6" t="n"/>
      <c r="AW186" s="67" t="n"/>
      <c r="AX186" s="6" t="n"/>
      <c r="AY186" s="67" t="n"/>
      <c r="AZ186" s="6" t="n"/>
      <c r="BA186" s="67" t="n"/>
      <c r="BB186" s="5" t="n"/>
      <c r="BC186" s="6" t="n"/>
      <c r="BD186" s="67" t="n"/>
      <c r="BE186" s="6" t="n"/>
      <c r="BF186" s="66" t="n"/>
      <c r="BG186" s="5" t="n"/>
      <c r="BH186" s="6" t="n"/>
      <c r="BI186" s="68" t="n"/>
      <c r="BJ186" s="5" t="n"/>
      <c r="BK186" s="42" t="n"/>
    </row>
    <row r="187" ht="20" customHeight="1">
      <c r="A187" s="61" t="n"/>
      <c r="B187" s="6" t="n"/>
      <c r="C187" s="62" t="n"/>
      <c r="D187" s="5" t="n"/>
      <c r="E187" s="5" t="n"/>
      <c r="F187" s="6" t="n"/>
      <c r="G187" s="62" t="n"/>
      <c r="H187" s="5" t="n"/>
      <c r="I187" s="6" t="n"/>
      <c r="J187" s="62" t="n"/>
      <c r="K187" s="5" t="n"/>
      <c r="L187" s="6" t="n"/>
      <c r="M187" s="62" t="n"/>
      <c r="N187" s="5" t="n"/>
      <c r="O187" s="5" t="n"/>
      <c r="P187" s="5" t="n"/>
      <c r="Q187" s="6" t="n"/>
      <c r="R187" s="62" t="n"/>
      <c r="S187" s="5" t="n"/>
      <c r="T187" s="5" t="n"/>
      <c r="U187" s="5" t="n"/>
      <c r="V187" s="5" t="n"/>
      <c r="W187" s="5" t="n"/>
      <c r="X187" s="6" t="n"/>
      <c r="Y187" s="62" t="n"/>
      <c r="Z187" s="5" t="n"/>
      <c r="AA187" s="5" t="n"/>
      <c r="AB187" s="5" t="n"/>
      <c r="AC187" s="5" t="n"/>
      <c r="AD187" s="6" t="n"/>
      <c r="AE187" s="63" t="n"/>
      <c r="AF187" s="6" t="n"/>
      <c r="AG187" s="63" t="n"/>
      <c r="AH187" s="6" t="n"/>
      <c r="AI187" s="63" t="n"/>
      <c r="AJ187" s="6" t="n"/>
      <c r="AK187" s="63" t="n"/>
      <c r="AL187" s="6" t="n"/>
      <c r="AM187" s="63" t="n"/>
      <c r="AN187" s="5" t="n"/>
      <c r="AO187" s="6" t="n"/>
      <c r="AP187" s="63" t="n"/>
      <c r="AQ187" s="6" t="n"/>
      <c r="AR187" s="62" t="n"/>
      <c r="AS187" s="5" t="n"/>
      <c r="AT187" s="6" t="n"/>
      <c r="AU187" s="63" t="n"/>
      <c r="AV187" s="6" t="n"/>
      <c r="AW187" s="63" t="n"/>
      <c r="AX187" s="6" t="n"/>
      <c r="AY187" s="63" t="n"/>
      <c r="AZ187" s="6" t="n"/>
      <c r="BA187" s="63" t="n"/>
      <c r="BB187" s="5" t="n"/>
      <c r="BC187" s="6" t="n"/>
      <c r="BD187" s="63" t="n"/>
      <c r="BE187" s="6" t="n"/>
      <c r="BF187" s="62" t="n"/>
      <c r="BG187" s="5" t="n"/>
      <c r="BH187" s="6" t="n"/>
      <c r="BI187" s="64" t="n"/>
      <c r="BJ187" s="5" t="n"/>
      <c r="BK187" s="42" t="n"/>
    </row>
    <row r="188" ht="20" customHeight="1">
      <c r="A188" s="65" t="n"/>
      <c r="B188" s="6" t="n"/>
      <c r="C188" s="66" t="n"/>
      <c r="D188" s="5" t="n"/>
      <c r="E188" s="5" t="n"/>
      <c r="F188" s="6" t="n"/>
      <c r="G188" s="66" t="n"/>
      <c r="H188" s="5" t="n"/>
      <c r="I188" s="6" t="n"/>
      <c r="J188" s="66" t="n"/>
      <c r="K188" s="5" t="n"/>
      <c r="L188" s="6" t="n"/>
      <c r="M188" s="66" t="n"/>
      <c r="N188" s="5" t="n"/>
      <c r="O188" s="5" t="n"/>
      <c r="P188" s="5" t="n"/>
      <c r="Q188" s="6" t="n"/>
      <c r="R188" s="66" t="n"/>
      <c r="S188" s="5" t="n"/>
      <c r="T188" s="5" t="n"/>
      <c r="U188" s="5" t="n"/>
      <c r="V188" s="5" t="n"/>
      <c r="W188" s="5" t="n"/>
      <c r="X188" s="6" t="n"/>
      <c r="Y188" s="66" t="n"/>
      <c r="Z188" s="5" t="n"/>
      <c r="AA188" s="5" t="n"/>
      <c r="AB188" s="5" t="n"/>
      <c r="AC188" s="5" t="n"/>
      <c r="AD188" s="6" t="n"/>
      <c r="AE188" s="67" t="n"/>
      <c r="AF188" s="6" t="n"/>
      <c r="AG188" s="67" t="n"/>
      <c r="AH188" s="6" t="n"/>
      <c r="AI188" s="67" t="n"/>
      <c r="AJ188" s="6" t="n"/>
      <c r="AK188" s="67" t="n"/>
      <c r="AL188" s="6" t="n"/>
      <c r="AM188" s="67" t="n"/>
      <c r="AN188" s="5" t="n"/>
      <c r="AO188" s="6" t="n"/>
      <c r="AP188" s="67" t="n"/>
      <c r="AQ188" s="6" t="n"/>
      <c r="AR188" s="66" t="n"/>
      <c r="AS188" s="5" t="n"/>
      <c r="AT188" s="6" t="n"/>
      <c r="AU188" s="67" t="n"/>
      <c r="AV188" s="6" t="n"/>
      <c r="AW188" s="67" t="n"/>
      <c r="AX188" s="6" t="n"/>
      <c r="AY188" s="67" t="n"/>
      <c r="AZ188" s="6" t="n"/>
      <c r="BA188" s="67" t="n"/>
      <c r="BB188" s="5" t="n"/>
      <c r="BC188" s="6" t="n"/>
      <c r="BD188" s="67" t="n"/>
      <c r="BE188" s="6" t="n"/>
      <c r="BF188" s="66" t="n"/>
      <c r="BG188" s="5" t="n"/>
      <c r="BH188" s="6" t="n"/>
      <c r="BI188" s="68" t="n"/>
      <c r="BJ188" s="5" t="n"/>
      <c r="BK188" s="42" t="n"/>
    </row>
    <row r="189" ht="20" customHeight="1">
      <c r="A189" s="61" t="n"/>
      <c r="B189" s="6" t="n"/>
      <c r="C189" s="62" t="n"/>
      <c r="D189" s="5" t="n"/>
      <c r="E189" s="5" t="n"/>
      <c r="F189" s="6" t="n"/>
      <c r="G189" s="62" t="n"/>
      <c r="H189" s="5" t="n"/>
      <c r="I189" s="6" t="n"/>
      <c r="J189" s="62" t="n"/>
      <c r="K189" s="5" t="n"/>
      <c r="L189" s="6" t="n"/>
      <c r="M189" s="62" t="n"/>
      <c r="N189" s="5" t="n"/>
      <c r="O189" s="5" t="n"/>
      <c r="P189" s="5" t="n"/>
      <c r="Q189" s="6" t="n"/>
      <c r="R189" s="62" t="n"/>
      <c r="S189" s="5" t="n"/>
      <c r="T189" s="5" t="n"/>
      <c r="U189" s="5" t="n"/>
      <c r="V189" s="5" t="n"/>
      <c r="W189" s="5" t="n"/>
      <c r="X189" s="6" t="n"/>
      <c r="Y189" s="62" t="n"/>
      <c r="Z189" s="5" t="n"/>
      <c r="AA189" s="5" t="n"/>
      <c r="AB189" s="5" t="n"/>
      <c r="AC189" s="5" t="n"/>
      <c r="AD189" s="6" t="n"/>
      <c r="AE189" s="63" t="n"/>
      <c r="AF189" s="6" t="n"/>
      <c r="AG189" s="63" t="n"/>
      <c r="AH189" s="6" t="n"/>
      <c r="AI189" s="63" t="n"/>
      <c r="AJ189" s="6" t="n"/>
      <c r="AK189" s="63" t="n"/>
      <c r="AL189" s="6" t="n"/>
      <c r="AM189" s="63" t="n"/>
      <c r="AN189" s="5" t="n"/>
      <c r="AO189" s="6" t="n"/>
      <c r="AP189" s="63" t="n"/>
      <c r="AQ189" s="6" t="n"/>
      <c r="AR189" s="62" t="n"/>
      <c r="AS189" s="5" t="n"/>
      <c r="AT189" s="6" t="n"/>
      <c r="AU189" s="63" t="n"/>
      <c r="AV189" s="6" t="n"/>
      <c r="AW189" s="63" t="n"/>
      <c r="AX189" s="6" t="n"/>
      <c r="AY189" s="63" t="n"/>
      <c r="AZ189" s="6" t="n"/>
      <c r="BA189" s="63" t="n"/>
      <c r="BB189" s="5" t="n"/>
      <c r="BC189" s="6" t="n"/>
      <c r="BD189" s="63" t="n"/>
      <c r="BE189" s="6" t="n"/>
      <c r="BF189" s="62" t="n"/>
      <c r="BG189" s="5" t="n"/>
      <c r="BH189" s="6" t="n"/>
      <c r="BI189" s="64" t="n"/>
      <c r="BJ189" s="5" t="n"/>
      <c r="BK189" s="42" t="n"/>
    </row>
    <row r="190" ht="20" customHeight="1">
      <c r="A190" s="65" t="n"/>
      <c r="B190" s="6" t="n"/>
      <c r="C190" s="66" t="n"/>
      <c r="D190" s="5" t="n"/>
      <c r="E190" s="5" t="n"/>
      <c r="F190" s="6" t="n"/>
      <c r="G190" s="66" t="n"/>
      <c r="H190" s="5" t="n"/>
      <c r="I190" s="6" t="n"/>
      <c r="J190" s="66" t="n"/>
      <c r="K190" s="5" t="n"/>
      <c r="L190" s="6" t="n"/>
      <c r="M190" s="66" t="n"/>
      <c r="N190" s="5" t="n"/>
      <c r="O190" s="5" t="n"/>
      <c r="P190" s="5" t="n"/>
      <c r="Q190" s="6" t="n"/>
      <c r="R190" s="66" t="n"/>
      <c r="S190" s="5" t="n"/>
      <c r="T190" s="5" t="n"/>
      <c r="U190" s="5" t="n"/>
      <c r="V190" s="5" t="n"/>
      <c r="W190" s="5" t="n"/>
      <c r="X190" s="6" t="n"/>
      <c r="Y190" s="66" t="n"/>
      <c r="Z190" s="5" t="n"/>
      <c r="AA190" s="5" t="n"/>
      <c r="AB190" s="5" t="n"/>
      <c r="AC190" s="5" t="n"/>
      <c r="AD190" s="6" t="n"/>
      <c r="AE190" s="67" t="n"/>
      <c r="AF190" s="6" t="n"/>
      <c r="AG190" s="67" t="n"/>
      <c r="AH190" s="6" t="n"/>
      <c r="AI190" s="67" t="n"/>
      <c r="AJ190" s="6" t="n"/>
      <c r="AK190" s="67" t="n"/>
      <c r="AL190" s="6" t="n"/>
      <c r="AM190" s="67" t="n"/>
      <c r="AN190" s="5" t="n"/>
      <c r="AO190" s="6" t="n"/>
      <c r="AP190" s="67" t="n"/>
      <c r="AQ190" s="6" t="n"/>
      <c r="AR190" s="66" t="n"/>
      <c r="AS190" s="5" t="n"/>
      <c r="AT190" s="6" t="n"/>
      <c r="AU190" s="67" t="n"/>
      <c r="AV190" s="6" t="n"/>
      <c r="AW190" s="67" t="n"/>
      <c r="AX190" s="6" t="n"/>
      <c r="AY190" s="67" t="n"/>
      <c r="AZ190" s="6" t="n"/>
      <c r="BA190" s="67" t="n"/>
      <c r="BB190" s="5" t="n"/>
      <c r="BC190" s="6" t="n"/>
      <c r="BD190" s="67" t="n"/>
      <c r="BE190" s="6" t="n"/>
      <c r="BF190" s="66" t="n"/>
      <c r="BG190" s="5" t="n"/>
      <c r="BH190" s="6" t="n"/>
      <c r="BI190" s="68" t="n"/>
      <c r="BJ190" s="5" t="n"/>
      <c r="BK190" s="42" t="n"/>
    </row>
    <row r="191" ht="20" customHeight="1">
      <c r="A191" s="61" t="n"/>
      <c r="B191" s="6" t="n"/>
      <c r="C191" s="62" t="n"/>
      <c r="D191" s="5" t="n"/>
      <c r="E191" s="5" t="n"/>
      <c r="F191" s="6" t="n"/>
      <c r="G191" s="62" t="n"/>
      <c r="H191" s="5" t="n"/>
      <c r="I191" s="6" t="n"/>
      <c r="J191" s="62" t="n"/>
      <c r="K191" s="5" t="n"/>
      <c r="L191" s="6" t="n"/>
      <c r="M191" s="62" t="n"/>
      <c r="N191" s="5" t="n"/>
      <c r="O191" s="5" t="n"/>
      <c r="P191" s="5" t="n"/>
      <c r="Q191" s="6" t="n"/>
      <c r="R191" s="62" t="n"/>
      <c r="S191" s="5" t="n"/>
      <c r="T191" s="5" t="n"/>
      <c r="U191" s="5" t="n"/>
      <c r="V191" s="5" t="n"/>
      <c r="W191" s="5" t="n"/>
      <c r="X191" s="6" t="n"/>
      <c r="Y191" s="62" t="n"/>
      <c r="Z191" s="5" t="n"/>
      <c r="AA191" s="5" t="n"/>
      <c r="AB191" s="5" t="n"/>
      <c r="AC191" s="5" t="n"/>
      <c r="AD191" s="6" t="n"/>
      <c r="AE191" s="63" t="n"/>
      <c r="AF191" s="6" t="n"/>
      <c r="AG191" s="63" t="n"/>
      <c r="AH191" s="6" t="n"/>
      <c r="AI191" s="63" t="n"/>
      <c r="AJ191" s="6" t="n"/>
      <c r="AK191" s="63" t="n"/>
      <c r="AL191" s="6" t="n"/>
      <c r="AM191" s="63" t="n"/>
      <c r="AN191" s="5" t="n"/>
      <c r="AO191" s="6" t="n"/>
      <c r="AP191" s="63" t="n"/>
      <c r="AQ191" s="6" t="n"/>
      <c r="AR191" s="62" t="n"/>
      <c r="AS191" s="5" t="n"/>
      <c r="AT191" s="6" t="n"/>
      <c r="AU191" s="63" t="n"/>
      <c r="AV191" s="6" t="n"/>
      <c r="AW191" s="63" t="n"/>
      <c r="AX191" s="6" t="n"/>
      <c r="AY191" s="63" t="n"/>
      <c r="AZ191" s="6" t="n"/>
      <c r="BA191" s="63" t="n"/>
      <c r="BB191" s="5" t="n"/>
      <c r="BC191" s="6" t="n"/>
      <c r="BD191" s="63" t="n"/>
      <c r="BE191" s="6" t="n"/>
      <c r="BF191" s="62" t="n"/>
      <c r="BG191" s="5" t="n"/>
      <c r="BH191" s="6" t="n"/>
      <c r="BI191" s="64" t="n"/>
      <c r="BJ191" s="5" t="n"/>
      <c r="BK191" s="42" t="n"/>
    </row>
    <row r="192" ht="20" customHeight="1">
      <c r="A192" s="65" t="n"/>
      <c r="B192" s="6" t="n"/>
      <c r="C192" s="66" t="n"/>
      <c r="D192" s="5" t="n"/>
      <c r="E192" s="5" t="n"/>
      <c r="F192" s="6" t="n"/>
      <c r="G192" s="66" t="n"/>
      <c r="H192" s="5" t="n"/>
      <c r="I192" s="6" t="n"/>
      <c r="J192" s="66" t="n"/>
      <c r="K192" s="5" t="n"/>
      <c r="L192" s="6" t="n"/>
      <c r="M192" s="66" t="n"/>
      <c r="N192" s="5" t="n"/>
      <c r="O192" s="5" t="n"/>
      <c r="P192" s="5" t="n"/>
      <c r="Q192" s="6" t="n"/>
      <c r="R192" s="66" t="n"/>
      <c r="S192" s="5" t="n"/>
      <c r="T192" s="5" t="n"/>
      <c r="U192" s="5" t="n"/>
      <c r="V192" s="5" t="n"/>
      <c r="W192" s="5" t="n"/>
      <c r="X192" s="6" t="n"/>
      <c r="Y192" s="66" t="n"/>
      <c r="Z192" s="5" t="n"/>
      <c r="AA192" s="5" t="n"/>
      <c r="AB192" s="5" t="n"/>
      <c r="AC192" s="5" t="n"/>
      <c r="AD192" s="6" t="n"/>
      <c r="AE192" s="67" t="n"/>
      <c r="AF192" s="6" t="n"/>
      <c r="AG192" s="67" t="n"/>
      <c r="AH192" s="6" t="n"/>
      <c r="AI192" s="67" t="n"/>
      <c r="AJ192" s="6" t="n"/>
      <c r="AK192" s="67" t="n"/>
      <c r="AL192" s="6" t="n"/>
      <c r="AM192" s="67" t="n"/>
      <c r="AN192" s="5" t="n"/>
      <c r="AO192" s="6" t="n"/>
      <c r="AP192" s="67" t="n"/>
      <c r="AQ192" s="6" t="n"/>
      <c r="AR192" s="66" t="n"/>
      <c r="AS192" s="5" t="n"/>
      <c r="AT192" s="6" t="n"/>
      <c r="AU192" s="67" t="n"/>
      <c r="AV192" s="6" t="n"/>
      <c r="AW192" s="67" t="n"/>
      <c r="AX192" s="6" t="n"/>
      <c r="AY192" s="67" t="n"/>
      <c r="AZ192" s="6" t="n"/>
      <c r="BA192" s="67" t="n"/>
      <c r="BB192" s="5" t="n"/>
      <c r="BC192" s="6" t="n"/>
      <c r="BD192" s="67" t="n"/>
      <c r="BE192" s="6" t="n"/>
      <c r="BF192" s="66" t="n"/>
      <c r="BG192" s="5" t="n"/>
      <c r="BH192" s="6" t="n"/>
      <c r="BI192" s="68" t="n"/>
      <c r="BJ192" s="5" t="n"/>
      <c r="BK192" s="42" t="n"/>
    </row>
    <row r="193" ht="20" customHeight="1">
      <c r="A193" s="61" t="n"/>
      <c r="B193" s="6" t="n"/>
      <c r="C193" s="62" t="n"/>
      <c r="D193" s="5" t="n"/>
      <c r="E193" s="5" t="n"/>
      <c r="F193" s="6" t="n"/>
      <c r="G193" s="62" t="n"/>
      <c r="H193" s="5" t="n"/>
      <c r="I193" s="6" t="n"/>
      <c r="J193" s="62" t="n"/>
      <c r="K193" s="5" t="n"/>
      <c r="L193" s="6" t="n"/>
      <c r="M193" s="62" t="n"/>
      <c r="N193" s="5" t="n"/>
      <c r="O193" s="5" t="n"/>
      <c r="P193" s="5" t="n"/>
      <c r="Q193" s="6" t="n"/>
      <c r="R193" s="62" t="n"/>
      <c r="S193" s="5" t="n"/>
      <c r="T193" s="5" t="n"/>
      <c r="U193" s="5" t="n"/>
      <c r="V193" s="5" t="n"/>
      <c r="W193" s="5" t="n"/>
      <c r="X193" s="6" t="n"/>
      <c r="Y193" s="62" t="n"/>
      <c r="Z193" s="5" t="n"/>
      <c r="AA193" s="5" t="n"/>
      <c r="AB193" s="5" t="n"/>
      <c r="AC193" s="5" t="n"/>
      <c r="AD193" s="6" t="n"/>
      <c r="AE193" s="63" t="n"/>
      <c r="AF193" s="6" t="n"/>
      <c r="AG193" s="63" t="n"/>
      <c r="AH193" s="6" t="n"/>
      <c r="AI193" s="63" t="n"/>
      <c r="AJ193" s="6" t="n"/>
      <c r="AK193" s="63" t="n"/>
      <c r="AL193" s="6" t="n"/>
      <c r="AM193" s="63" t="n"/>
      <c r="AN193" s="5" t="n"/>
      <c r="AO193" s="6" t="n"/>
      <c r="AP193" s="63" t="n"/>
      <c r="AQ193" s="6" t="n"/>
      <c r="AR193" s="62" t="n"/>
      <c r="AS193" s="5" t="n"/>
      <c r="AT193" s="6" t="n"/>
      <c r="AU193" s="63" t="n"/>
      <c r="AV193" s="6" t="n"/>
      <c r="AW193" s="63" t="n"/>
      <c r="AX193" s="6" t="n"/>
      <c r="AY193" s="63" t="n"/>
      <c r="AZ193" s="6" t="n"/>
      <c r="BA193" s="63" t="n"/>
      <c r="BB193" s="5" t="n"/>
      <c r="BC193" s="6" t="n"/>
      <c r="BD193" s="63" t="n"/>
      <c r="BE193" s="6" t="n"/>
      <c r="BF193" s="62" t="n"/>
      <c r="BG193" s="5" t="n"/>
      <c r="BH193" s="6" t="n"/>
      <c r="BI193" s="64" t="n"/>
      <c r="BJ193" s="5" t="n"/>
      <c r="BK193" s="42" t="n"/>
    </row>
    <row r="194" ht="20" customHeight="1">
      <c r="A194" s="65" t="n"/>
      <c r="B194" s="6" t="n"/>
      <c r="C194" s="66" t="n"/>
      <c r="D194" s="5" t="n"/>
      <c r="E194" s="5" t="n"/>
      <c r="F194" s="6" t="n"/>
      <c r="G194" s="66" t="n"/>
      <c r="H194" s="5" t="n"/>
      <c r="I194" s="6" t="n"/>
      <c r="J194" s="66" t="n"/>
      <c r="K194" s="5" t="n"/>
      <c r="L194" s="6" t="n"/>
      <c r="M194" s="66" t="n"/>
      <c r="N194" s="5" t="n"/>
      <c r="O194" s="5" t="n"/>
      <c r="P194" s="5" t="n"/>
      <c r="Q194" s="6" t="n"/>
      <c r="R194" s="66" t="n"/>
      <c r="S194" s="5" t="n"/>
      <c r="T194" s="5" t="n"/>
      <c r="U194" s="5" t="n"/>
      <c r="V194" s="5" t="n"/>
      <c r="W194" s="5" t="n"/>
      <c r="X194" s="6" t="n"/>
      <c r="Y194" s="66" t="n"/>
      <c r="Z194" s="5" t="n"/>
      <c r="AA194" s="5" t="n"/>
      <c r="AB194" s="5" t="n"/>
      <c r="AC194" s="5" t="n"/>
      <c r="AD194" s="6" t="n"/>
      <c r="AE194" s="67" t="n"/>
      <c r="AF194" s="6" t="n"/>
      <c r="AG194" s="67" t="n"/>
      <c r="AH194" s="6" t="n"/>
      <c r="AI194" s="67" t="n"/>
      <c r="AJ194" s="6" t="n"/>
      <c r="AK194" s="67" t="n"/>
      <c r="AL194" s="6" t="n"/>
      <c r="AM194" s="67" t="n"/>
      <c r="AN194" s="5" t="n"/>
      <c r="AO194" s="6" t="n"/>
      <c r="AP194" s="67" t="n"/>
      <c r="AQ194" s="6" t="n"/>
      <c r="AR194" s="66" t="n"/>
      <c r="AS194" s="5" t="n"/>
      <c r="AT194" s="6" t="n"/>
      <c r="AU194" s="67" t="n"/>
      <c r="AV194" s="6" t="n"/>
      <c r="AW194" s="67" t="n"/>
      <c r="AX194" s="6" t="n"/>
      <c r="AY194" s="67" t="n"/>
      <c r="AZ194" s="6" t="n"/>
      <c r="BA194" s="67" t="n"/>
      <c r="BB194" s="5" t="n"/>
      <c r="BC194" s="6" t="n"/>
      <c r="BD194" s="67" t="n"/>
      <c r="BE194" s="6" t="n"/>
      <c r="BF194" s="66" t="n"/>
      <c r="BG194" s="5" t="n"/>
      <c r="BH194" s="6" t="n"/>
      <c r="BI194" s="68" t="n"/>
      <c r="BJ194" s="5" t="n"/>
      <c r="BK194" s="42" t="n"/>
    </row>
    <row r="195" ht="20" customHeight="1">
      <c r="A195" s="61" t="n"/>
      <c r="B195" s="6" t="n"/>
      <c r="C195" s="62" t="n"/>
      <c r="D195" s="5" t="n"/>
      <c r="E195" s="5" t="n"/>
      <c r="F195" s="6" t="n"/>
      <c r="G195" s="62" t="n"/>
      <c r="H195" s="5" t="n"/>
      <c r="I195" s="6" t="n"/>
      <c r="J195" s="62" t="n"/>
      <c r="K195" s="5" t="n"/>
      <c r="L195" s="6" t="n"/>
      <c r="M195" s="62" t="n"/>
      <c r="N195" s="5" t="n"/>
      <c r="O195" s="5" t="n"/>
      <c r="P195" s="5" t="n"/>
      <c r="Q195" s="6" t="n"/>
      <c r="R195" s="62" t="n"/>
      <c r="S195" s="5" t="n"/>
      <c r="T195" s="5" t="n"/>
      <c r="U195" s="5" t="n"/>
      <c r="V195" s="5" t="n"/>
      <c r="W195" s="5" t="n"/>
      <c r="X195" s="6" t="n"/>
      <c r="Y195" s="62" t="n"/>
      <c r="Z195" s="5" t="n"/>
      <c r="AA195" s="5" t="n"/>
      <c r="AB195" s="5" t="n"/>
      <c r="AC195" s="5" t="n"/>
      <c r="AD195" s="6" t="n"/>
      <c r="AE195" s="63" t="n"/>
      <c r="AF195" s="6" t="n"/>
      <c r="AG195" s="63" t="n"/>
      <c r="AH195" s="6" t="n"/>
      <c r="AI195" s="63" t="n"/>
      <c r="AJ195" s="6" t="n"/>
      <c r="AK195" s="63" t="n"/>
      <c r="AL195" s="6" t="n"/>
      <c r="AM195" s="63" t="n"/>
      <c r="AN195" s="5" t="n"/>
      <c r="AO195" s="6" t="n"/>
      <c r="AP195" s="63" t="n"/>
      <c r="AQ195" s="6" t="n"/>
      <c r="AR195" s="62" t="n"/>
      <c r="AS195" s="5" t="n"/>
      <c r="AT195" s="6" t="n"/>
      <c r="AU195" s="63" t="n"/>
      <c r="AV195" s="6" t="n"/>
      <c r="AW195" s="63" t="n"/>
      <c r="AX195" s="6" t="n"/>
      <c r="AY195" s="63" t="n"/>
      <c r="AZ195" s="6" t="n"/>
      <c r="BA195" s="63" t="n"/>
      <c r="BB195" s="5" t="n"/>
      <c r="BC195" s="6" t="n"/>
      <c r="BD195" s="63" t="n"/>
      <c r="BE195" s="6" t="n"/>
      <c r="BF195" s="62" t="n"/>
      <c r="BG195" s="5" t="n"/>
      <c r="BH195" s="6" t="n"/>
      <c r="BI195" s="64" t="n"/>
      <c r="BJ195" s="5" t="n"/>
      <c r="BK195" s="42" t="n"/>
    </row>
    <row r="196" ht="20" customHeight="1">
      <c r="A196" s="65" t="n"/>
      <c r="B196" s="6" t="n"/>
      <c r="C196" s="66" t="n"/>
      <c r="D196" s="5" t="n"/>
      <c r="E196" s="5" t="n"/>
      <c r="F196" s="6" t="n"/>
      <c r="G196" s="66" t="n"/>
      <c r="H196" s="5" t="n"/>
      <c r="I196" s="6" t="n"/>
      <c r="J196" s="66" t="n"/>
      <c r="K196" s="5" t="n"/>
      <c r="L196" s="6" t="n"/>
      <c r="M196" s="66" t="n"/>
      <c r="N196" s="5" t="n"/>
      <c r="O196" s="5" t="n"/>
      <c r="P196" s="5" t="n"/>
      <c r="Q196" s="6" t="n"/>
      <c r="R196" s="66" t="n"/>
      <c r="S196" s="5" t="n"/>
      <c r="T196" s="5" t="n"/>
      <c r="U196" s="5" t="n"/>
      <c r="V196" s="5" t="n"/>
      <c r="W196" s="5" t="n"/>
      <c r="X196" s="6" t="n"/>
      <c r="Y196" s="66" t="n"/>
      <c r="Z196" s="5" t="n"/>
      <c r="AA196" s="5" t="n"/>
      <c r="AB196" s="5" t="n"/>
      <c r="AC196" s="5" t="n"/>
      <c r="AD196" s="6" t="n"/>
      <c r="AE196" s="67" t="n"/>
      <c r="AF196" s="6" t="n"/>
      <c r="AG196" s="67" t="n"/>
      <c r="AH196" s="6" t="n"/>
      <c r="AI196" s="67" t="n"/>
      <c r="AJ196" s="6" t="n"/>
      <c r="AK196" s="67" t="n"/>
      <c r="AL196" s="6" t="n"/>
      <c r="AM196" s="67" t="n"/>
      <c r="AN196" s="5" t="n"/>
      <c r="AO196" s="6" t="n"/>
      <c r="AP196" s="67" t="n"/>
      <c r="AQ196" s="6" t="n"/>
      <c r="AR196" s="66" t="n"/>
      <c r="AS196" s="5" t="n"/>
      <c r="AT196" s="6" t="n"/>
      <c r="AU196" s="67" t="n"/>
      <c r="AV196" s="6" t="n"/>
      <c r="AW196" s="67" t="n"/>
      <c r="AX196" s="6" t="n"/>
      <c r="AY196" s="67" t="n"/>
      <c r="AZ196" s="6" t="n"/>
      <c r="BA196" s="67" t="n"/>
      <c r="BB196" s="5" t="n"/>
      <c r="BC196" s="6" t="n"/>
      <c r="BD196" s="67" t="n"/>
      <c r="BE196" s="6" t="n"/>
      <c r="BF196" s="66" t="n"/>
      <c r="BG196" s="5" t="n"/>
      <c r="BH196" s="6" t="n"/>
      <c r="BI196" s="68" t="n"/>
      <c r="BJ196" s="5" t="n"/>
      <c r="BK196" s="42" t="n"/>
    </row>
    <row r="197" ht="20" customHeight="1">
      <c r="A197" s="61" t="n"/>
      <c r="B197" s="6" t="n"/>
      <c r="C197" s="62" t="n"/>
      <c r="D197" s="5" t="n"/>
      <c r="E197" s="5" t="n"/>
      <c r="F197" s="6" t="n"/>
      <c r="G197" s="62" t="n"/>
      <c r="H197" s="5" t="n"/>
      <c r="I197" s="6" t="n"/>
      <c r="J197" s="62" t="n"/>
      <c r="K197" s="5" t="n"/>
      <c r="L197" s="6" t="n"/>
      <c r="M197" s="62" t="n"/>
      <c r="N197" s="5" t="n"/>
      <c r="O197" s="5" t="n"/>
      <c r="P197" s="5" t="n"/>
      <c r="Q197" s="6" t="n"/>
      <c r="R197" s="62" t="n"/>
      <c r="S197" s="5" t="n"/>
      <c r="T197" s="5" t="n"/>
      <c r="U197" s="5" t="n"/>
      <c r="V197" s="5" t="n"/>
      <c r="W197" s="5" t="n"/>
      <c r="X197" s="6" t="n"/>
      <c r="Y197" s="62" t="n"/>
      <c r="Z197" s="5" t="n"/>
      <c r="AA197" s="5" t="n"/>
      <c r="AB197" s="5" t="n"/>
      <c r="AC197" s="5" t="n"/>
      <c r="AD197" s="6" t="n"/>
      <c r="AE197" s="63" t="n"/>
      <c r="AF197" s="6" t="n"/>
      <c r="AG197" s="63" t="n"/>
      <c r="AH197" s="6" t="n"/>
      <c r="AI197" s="63" t="n"/>
      <c r="AJ197" s="6" t="n"/>
      <c r="AK197" s="63" t="n"/>
      <c r="AL197" s="6" t="n"/>
      <c r="AM197" s="63" t="n"/>
      <c r="AN197" s="5" t="n"/>
      <c r="AO197" s="6" t="n"/>
      <c r="AP197" s="63" t="n"/>
      <c r="AQ197" s="6" t="n"/>
      <c r="AR197" s="62" t="n"/>
      <c r="AS197" s="5" t="n"/>
      <c r="AT197" s="6" t="n"/>
      <c r="AU197" s="63" t="n"/>
      <c r="AV197" s="6" t="n"/>
      <c r="AW197" s="63" t="n"/>
      <c r="AX197" s="6" t="n"/>
      <c r="AY197" s="63" t="n"/>
      <c r="AZ197" s="6" t="n"/>
      <c r="BA197" s="63" t="n"/>
      <c r="BB197" s="5" t="n"/>
      <c r="BC197" s="6" t="n"/>
      <c r="BD197" s="63" t="n"/>
      <c r="BE197" s="6" t="n"/>
      <c r="BF197" s="62" t="n"/>
      <c r="BG197" s="5" t="n"/>
      <c r="BH197" s="6" t="n"/>
      <c r="BI197" s="64" t="n"/>
      <c r="BJ197" s="5" t="n"/>
      <c r="BK197" s="42" t="n"/>
    </row>
    <row r="198" ht="20" customHeight="1">
      <c r="A198" s="65" t="n"/>
      <c r="B198" s="6" t="n"/>
      <c r="C198" s="66" t="n"/>
      <c r="D198" s="5" t="n"/>
      <c r="E198" s="5" t="n"/>
      <c r="F198" s="6" t="n"/>
      <c r="G198" s="66" t="n"/>
      <c r="H198" s="5" t="n"/>
      <c r="I198" s="6" t="n"/>
      <c r="J198" s="66" t="n"/>
      <c r="K198" s="5" t="n"/>
      <c r="L198" s="6" t="n"/>
      <c r="M198" s="66" t="n"/>
      <c r="N198" s="5" t="n"/>
      <c r="O198" s="5" t="n"/>
      <c r="P198" s="5" t="n"/>
      <c r="Q198" s="6" t="n"/>
      <c r="R198" s="66" t="n"/>
      <c r="S198" s="5" t="n"/>
      <c r="T198" s="5" t="n"/>
      <c r="U198" s="5" t="n"/>
      <c r="V198" s="5" t="n"/>
      <c r="W198" s="5" t="n"/>
      <c r="X198" s="6" t="n"/>
      <c r="Y198" s="66" t="n"/>
      <c r="Z198" s="5" t="n"/>
      <c r="AA198" s="5" t="n"/>
      <c r="AB198" s="5" t="n"/>
      <c r="AC198" s="5" t="n"/>
      <c r="AD198" s="6" t="n"/>
      <c r="AE198" s="67" t="n"/>
      <c r="AF198" s="6" t="n"/>
      <c r="AG198" s="67" t="n"/>
      <c r="AH198" s="6" t="n"/>
      <c r="AI198" s="67" t="n"/>
      <c r="AJ198" s="6" t="n"/>
      <c r="AK198" s="67" t="n"/>
      <c r="AL198" s="6" t="n"/>
      <c r="AM198" s="67" t="n"/>
      <c r="AN198" s="5" t="n"/>
      <c r="AO198" s="6" t="n"/>
      <c r="AP198" s="67" t="n"/>
      <c r="AQ198" s="6" t="n"/>
      <c r="AR198" s="66" t="n"/>
      <c r="AS198" s="5" t="n"/>
      <c r="AT198" s="6" t="n"/>
      <c r="AU198" s="67" t="n"/>
      <c r="AV198" s="6" t="n"/>
      <c r="AW198" s="67" t="n"/>
      <c r="AX198" s="6" t="n"/>
      <c r="AY198" s="67" t="n"/>
      <c r="AZ198" s="6" t="n"/>
      <c r="BA198" s="67" t="n"/>
      <c r="BB198" s="5" t="n"/>
      <c r="BC198" s="6" t="n"/>
      <c r="BD198" s="67" t="n"/>
      <c r="BE198" s="6" t="n"/>
      <c r="BF198" s="66" t="n"/>
      <c r="BG198" s="5" t="n"/>
      <c r="BH198" s="6" t="n"/>
      <c r="BI198" s="68" t="n"/>
      <c r="BJ198" s="5" t="n"/>
      <c r="BK198" s="42" t="n"/>
    </row>
    <row r="199" ht="20" customHeight="1">
      <c r="A199" s="61" t="n"/>
      <c r="B199" s="6" t="n"/>
      <c r="C199" s="62" t="n"/>
      <c r="D199" s="5" t="n"/>
      <c r="E199" s="5" t="n"/>
      <c r="F199" s="6" t="n"/>
      <c r="G199" s="62" t="n"/>
      <c r="H199" s="5" t="n"/>
      <c r="I199" s="6" t="n"/>
      <c r="J199" s="62" t="n"/>
      <c r="K199" s="5" t="n"/>
      <c r="L199" s="6" t="n"/>
      <c r="M199" s="62" t="n"/>
      <c r="N199" s="5" t="n"/>
      <c r="O199" s="5" t="n"/>
      <c r="P199" s="5" t="n"/>
      <c r="Q199" s="6" t="n"/>
      <c r="R199" s="62" t="n"/>
      <c r="S199" s="5" t="n"/>
      <c r="T199" s="5" t="n"/>
      <c r="U199" s="5" t="n"/>
      <c r="V199" s="5" t="n"/>
      <c r="W199" s="5" t="n"/>
      <c r="X199" s="6" t="n"/>
      <c r="Y199" s="62" t="n"/>
      <c r="Z199" s="5" t="n"/>
      <c r="AA199" s="5" t="n"/>
      <c r="AB199" s="5" t="n"/>
      <c r="AC199" s="5" t="n"/>
      <c r="AD199" s="6" t="n"/>
      <c r="AE199" s="63" t="n"/>
      <c r="AF199" s="6" t="n"/>
      <c r="AG199" s="63" t="n"/>
      <c r="AH199" s="6" t="n"/>
      <c r="AI199" s="63" t="n"/>
      <c r="AJ199" s="6" t="n"/>
      <c r="AK199" s="63" t="n"/>
      <c r="AL199" s="6" t="n"/>
      <c r="AM199" s="63" t="n"/>
      <c r="AN199" s="5" t="n"/>
      <c r="AO199" s="6" t="n"/>
      <c r="AP199" s="63" t="n"/>
      <c r="AQ199" s="6" t="n"/>
      <c r="AR199" s="62" t="n"/>
      <c r="AS199" s="5" t="n"/>
      <c r="AT199" s="6" t="n"/>
      <c r="AU199" s="63" t="n"/>
      <c r="AV199" s="6" t="n"/>
      <c r="AW199" s="63" t="n"/>
      <c r="AX199" s="6" t="n"/>
      <c r="AY199" s="63" t="n"/>
      <c r="AZ199" s="6" t="n"/>
      <c r="BA199" s="63" t="n"/>
      <c r="BB199" s="5" t="n"/>
      <c r="BC199" s="6" t="n"/>
      <c r="BD199" s="63" t="n"/>
      <c r="BE199" s="6" t="n"/>
      <c r="BF199" s="62" t="n"/>
      <c r="BG199" s="5" t="n"/>
      <c r="BH199" s="6" t="n"/>
      <c r="BI199" s="64" t="n"/>
      <c r="BJ199" s="5" t="n"/>
      <c r="BK199" s="42" t="n"/>
    </row>
    <row r="200" ht="20" customHeight="1">
      <c r="A200" s="69" t="n"/>
      <c r="B200" s="48" t="n"/>
      <c r="C200" s="70" t="n"/>
      <c r="D200" s="47" t="n"/>
      <c r="E200" s="47" t="n"/>
      <c r="F200" s="48" t="n"/>
      <c r="G200" s="70" t="n"/>
      <c r="H200" s="47" t="n"/>
      <c r="I200" s="48" t="n"/>
      <c r="J200" s="70" t="n"/>
      <c r="K200" s="47" t="n"/>
      <c r="L200" s="48" t="n"/>
      <c r="M200" s="70" t="n"/>
      <c r="N200" s="47" t="n"/>
      <c r="O200" s="47" t="n"/>
      <c r="P200" s="47" t="n"/>
      <c r="Q200" s="48" t="n"/>
      <c r="R200" s="70" t="n"/>
      <c r="S200" s="47" t="n"/>
      <c r="T200" s="47" t="n"/>
      <c r="U200" s="47" t="n"/>
      <c r="V200" s="47" t="n"/>
      <c r="W200" s="47" t="n"/>
      <c r="X200" s="48" t="n"/>
      <c r="Y200" s="70" t="n"/>
      <c r="Z200" s="47" t="n"/>
      <c r="AA200" s="47" t="n"/>
      <c r="AB200" s="47" t="n"/>
      <c r="AC200" s="47" t="n"/>
      <c r="AD200" s="48" t="n"/>
      <c r="AE200" s="71" t="n"/>
      <c r="AF200" s="48" t="n"/>
      <c r="AG200" s="71" t="n"/>
      <c r="AH200" s="48" t="n"/>
      <c r="AI200" s="71" t="n"/>
      <c r="AJ200" s="48" t="n"/>
      <c r="AK200" s="71" t="n"/>
      <c r="AL200" s="48" t="n"/>
      <c r="AM200" s="71" t="n"/>
      <c r="AN200" s="47" t="n"/>
      <c r="AO200" s="48" t="n"/>
      <c r="AP200" s="71" t="n"/>
      <c r="AQ200" s="48" t="n"/>
      <c r="AR200" s="70" t="n"/>
      <c r="AS200" s="47" t="n"/>
      <c r="AT200" s="48" t="n"/>
      <c r="AU200" s="71" t="n"/>
      <c r="AV200" s="48" t="n"/>
      <c r="AW200" s="71" t="n"/>
      <c r="AX200" s="48" t="n"/>
      <c r="AY200" s="71" t="n"/>
      <c r="AZ200" s="48" t="n"/>
      <c r="BA200" s="71" t="n"/>
      <c r="BB200" s="47" t="n"/>
      <c r="BC200" s="48" t="n"/>
      <c r="BD200" s="71" t="n"/>
      <c r="BE200" s="48" t="n"/>
      <c r="BF200" s="70" t="n"/>
      <c r="BG200" s="47" t="n"/>
      <c r="BH200" s="48" t="n"/>
      <c r="BI200" s="72" t="n"/>
      <c r="BJ200" s="47" t="n"/>
      <c r="BK200" s="51" t="n"/>
    </row>
  </sheetData>
  <mergeCells count="4145">
    <mergeCell ref="M34:Q34"/>
    <mergeCell ref="BF186:BH186"/>
    <mergeCell ref="G112:I112"/>
    <mergeCell ref="J151:L151"/>
    <mergeCell ref="AK185:AL185"/>
    <mergeCell ref="AI87:AJ87"/>
    <mergeCell ref="AU182:AV182"/>
    <mergeCell ref="AG54:AH54"/>
    <mergeCell ref="BF57:BH57"/>
    <mergeCell ref="AW98:AX98"/>
    <mergeCell ref="AK62:AL62"/>
    <mergeCell ref="AK193:AL193"/>
    <mergeCell ref="AR16:AT16"/>
    <mergeCell ref="BF23:BH23"/>
    <mergeCell ref="AP110:AQ110"/>
    <mergeCell ref="R18:X18"/>
    <mergeCell ref="AG56:AH56"/>
    <mergeCell ref="AE105:AF105"/>
    <mergeCell ref="AR174:AT174"/>
    <mergeCell ref="BF181:BH181"/>
    <mergeCell ref="AM128:AO128"/>
    <mergeCell ref="C62:F62"/>
    <mergeCell ref="AU177:AV177"/>
    <mergeCell ref="AR45:AT45"/>
    <mergeCell ref="J50:L50"/>
    <mergeCell ref="AI145:AJ145"/>
    <mergeCell ref="AR17:AT17"/>
    <mergeCell ref="AR11:AT11"/>
    <mergeCell ref="G16:I16"/>
    <mergeCell ref="C187:F187"/>
    <mergeCell ref="R19:X19"/>
    <mergeCell ref="C64:F64"/>
    <mergeCell ref="AR47:AT47"/>
    <mergeCell ref="BA63:BC63"/>
    <mergeCell ref="AI138:AJ138"/>
    <mergeCell ref="Y32:AD32"/>
    <mergeCell ref="J52:L52"/>
    <mergeCell ref="AY35:AZ35"/>
    <mergeCell ref="G9:I9"/>
    <mergeCell ref="AR42:AT42"/>
    <mergeCell ref="BA71:BC71"/>
    <mergeCell ref="C93:F93"/>
    <mergeCell ref="BI58:BK58"/>
    <mergeCell ref="BD127:BE127"/>
    <mergeCell ref="BD133:BE133"/>
    <mergeCell ref="AP136:AQ136"/>
    <mergeCell ref="AE34:AF34"/>
    <mergeCell ref="AE9:AF9"/>
    <mergeCell ref="J81:L81"/>
    <mergeCell ref="AI140:AJ140"/>
    <mergeCell ref="G36:I36"/>
    <mergeCell ref="AU53:AV53"/>
    <mergeCell ref="M91:Q91"/>
    <mergeCell ref="AW109:AX109"/>
    <mergeCell ref="BF199:BH199"/>
    <mergeCell ref="AP7:AQ7"/>
    <mergeCell ref="AR71:AT71"/>
    <mergeCell ref="AY30:AZ30"/>
    <mergeCell ref="AE36:AF36"/>
    <mergeCell ref="AE11:AF11"/>
    <mergeCell ref="AR37:AT37"/>
    <mergeCell ref="M93:Q93"/>
    <mergeCell ref="AK75:AL75"/>
    <mergeCell ref="AR73:AT73"/>
    <mergeCell ref="AY86:AZ86"/>
    <mergeCell ref="AG100:AH100"/>
    <mergeCell ref="AG94:AH94"/>
    <mergeCell ref="AU107:AV107"/>
    <mergeCell ref="Y50:AD50"/>
    <mergeCell ref="G69:I69"/>
    <mergeCell ref="J70:L70"/>
    <mergeCell ref="R72:X72"/>
    <mergeCell ref="AE31:AF31"/>
    <mergeCell ref="BD153:BE153"/>
    <mergeCell ref="AI166:AJ166"/>
    <mergeCell ref="Y60:AD60"/>
    <mergeCell ref="Y16:AD16"/>
    <mergeCell ref="C111:F111"/>
    <mergeCell ref="J63:L63"/>
    <mergeCell ref="AI158:AJ158"/>
    <mergeCell ref="Y52:AD52"/>
    <mergeCell ref="M20:Q20"/>
    <mergeCell ref="Y174:AD174"/>
    <mergeCell ref="C83:F83"/>
    <mergeCell ref="AI168:AJ168"/>
    <mergeCell ref="AY81:AZ81"/>
    <mergeCell ref="AG95:AH95"/>
    <mergeCell ref="BI80:BK80"/>
    <mergeCell ref="AE62:AF62"/>
    <mergeCell ref="M109:Q109"/>
    <mergeCell ref="Y18:AD18"/>
    <mergeCell ref="Y45:AD45"/>
    <mergeCell ref="G64:I64"/>
    <mergeCell ref="AI160:AJ160"/>
    <mergeCell ref="M22:Q22"/>
    <mergeCell ref="A192:B192"/>
    <mergeCell ref="M75:Q75"/>
    <mergeCell ref="AP60:AQ60"/>
    <mergeCell ref="BF34:BH34"/>
    <mergeCell ref="AM55:AO55"/>
    <mergeCell ref="AG97:AH97"/>
    <mergeCell ref="AE64:AF64"/>
    <mergeCell ref="R88:X88"/>
    <mergeCell ref="AI153:AJ153"/>
    <mergeCell ref="AP149:AQ149"/>
    <mergeCell ref="M15:Q15"/>
    <mergeCell ref="A194:B194"/>
    <mergeCell ref="M104:Q104"/>
    <mergeCell ref="AE57:AF57"/>
    <mergeCell ref="R90:X90"/>
    <mergeCell ref="AW41:AX41"/>
    <mergeCell ref="Y42:AD42"/>
    <mergeCell ref="C137:F137"/>
    <mergeCell ref="AP151:AQ151"/>
    <mergeCell ref="AI184:AJ184"/>
    <mergeCell ref="AM200:AO200"/>
    <mergeCell ref="AM194:AO194"/>
    <mergeCell ref="M106:Q106"/>
    <mergeCell ref="AR117:AT117"/>
    <mergeCell ref="R83:X83"/>
    <mergeCell ref="AG121:AH121"/>
    <mergeCell ref="BF124:BH124"/>
    <mergeCell ref="AW43:AX43"/>
    <mergeCell ref="AY105:AZ105"/>
    <mergeCell ref="Y71:AD71"/>
    <mergeCell ref="C139:F139"/>
    <mergeCell ref="AY99:AZ99"/>
    <mergeCell ref="BI8:BK8"/>
    <mergeCell ref="J127:L127"/>
    <mergeCell ref="G82:I82"/>
    <mergeCell ref="R91:X91"/>
    <mergeCell ref="R85:X85"/>
    <mergeCell ref="A34:B34"/>
    <mergeCell ref="AW36:AX36"/>
    <mergeCell ref="AG123:AH123"/>
    <mergeCell ref="C132:F132"/>
    <mergeCell ref="C138:F138"/>
    <mergeCell ref="Y98:AD98"/>
    <mergeCell ref="Y73:AD73"/>
    <mergeCell ref="M162:Q162"/>
    <mergeCell ref="AY101:AZ101"/>
    <mergeCell ref="AI179:AJ179"/>
    <mergeCell ref="AM195:AO195"/>
    <mergeCell ref="BI10:BK10"/>
    <mergeCell ref="A36:B36"/>
    <mergeCell ref="AP71:AQ71"/>
    <mergeCell ref="AY100:AZ100"/>
    <mergeCell ref="BI99:BK99"/>
    <mergeCell ref="AW67:AX67"/>
    <mergeCell ref="AE75:AF75"/>
    <mergeCell ref="J147:L147"/>
    <mergeCell ref="BI3:BK3"/>
    <mergeCell ref="G83:I83"/>
    <mergeCell ref="BA77:BC77"/>
    <mergeCell ref="AM197:AO197"/>
    <mergeCell ref="AI83:AJ83"/>
    <mergeCell ref="M35:Q35"/>
    <mergeCell ref="M157:Q157"/>
    <mergeCell ref="AP79:AQ79"/>
    <mergeCell ref="AP73:AQ73"/>
    <mergeCell ref="A65:B65"/>
    <mergeCell ref="BA166:BC166"/>
    <mergeCell ref="AW69:AX69"/>
    <mergeCell ref="AW25:AX25"/>
    <mergeCell ref="G110:I110"/>
    <mergeCell ref="AY125:AZ125"/>
    <mergeCell ref="AI85:AJ85"/>
    <mergeCell ref="AG52:AH52"/>
    <mergeCell ref="AY127:AZ127"/>
    <mergeCell ref="R13:X13"/>
    <mergeCell ref="M30:Q30"/>
    <mergeCell ref="AG45:AH45"/>
    <mergeCell ref="BD44:BE44"/>
    <mergeCell ref="AP74:AQ74"/>
    <mergeCell ref="J163:L163"/>
    <mergeCell ref="AE103:AF103"/>
    <mergeCell ref="BI150:BK150"/>
    <mergeCell ref="Y126:AD126"/>
    <mergeCell ref="G12:I12"/>
    <mergeCell ref="R15:X15"/>
    <mergeCell ref="AR18:AT18"/>
    <mergeCell ref="AG47:AH47"/>
    <mergeCell ref="M61:Q61"/>
    <mergeCell ref="AI109:AJ109"/>
    <mergeCell ref="BI21:BK21"/>
    <mergeCell ref="J165:L165"/>
    <mergeCell ref="AG167:AH167"/>
    <mergeCell ref="R104:X104"/>
    <mergeCell ref="BI152:BK152"/>
    <mergeCell ref="J171:L171"/>
    <mergeCell ref="C176:F176"/>
    <mergeCell ref="M175:Q175"/>
    <mergeCell ref="C193:F193"/>
    <mergeCell ref="Y117:AD117"/>
    <mergeCell ref="G136:I136"/>
    <mergeCell ref="BA67:BC67"/>
    <mergeCell ref="BA61:BC61"/>
    <mergeCell ref="AI111:AJ111"/>
    <mergeCell ref="BI23:BK23"/>
    <mergeCell ref="BI145:BK145"/>
    <mergeCell ref="AP101:AQ101"/>
    <mergeCell ref="AK27:AL27"/>
    <mergeCell ref="C178:F178"/>
    <mergeCell ref="G7:I7"/>
    <mergeCell ref="AG192:AH192"/>
    <mergeCell ref="AU18:AV18"/>
    <mergeCell ref="J166:L166"/>
    <mergeCell ref="M56:Q56"/>
    <mergeCell ref="BA96:BC96"/>
    <mergeCell ref="AY26:AZ26"/>
    <mergeCell ref="BA90:BC90"/>
    <mergeCell ref="M176:Q176"/>
    <mergeCell ref="AE7:AF7"/>
    <mergeCell ref="AE129:AF129"/>
    <mergeCell ref="AG63:AH63"/>
    <mergeCell ref="AU51:AV51"/>
    <mergeCell ref="BA62:BC62"/>
    <mergeCell ref="AW107:AX107"/>
    <mergeCell ref="AW82:AX82"/>
    <mergeCell ref="AR69:AT69"/>
    <mergeCell ref="BI18:BK18"/>
    <mergeCell ref="Y144:AD144"/>
    <mergeCell ref="J191:L191"/>
    <mergeCell ref="R33:X33"/>
    <mergeCell ref="AY57:AZ57"/>
    <mergeCell ref="R155:X155"/>
    <mergeCell ref="AR158:AT158"/>
    <mergeCell ref="AG187:AH187"/>
    <mergeCell ref="BD96:BE96"/>
    <mergeCell ref="BF165:BH165"/>
    <mergeCell ref="AY171:AZ171"/>
    <mergeCell ref="AR193:AT193"/>
    <mergeCell ref="AE2:AF2"/>
    <mergeCell ref="AY50:AZ50"/>
    <mergeCell ref="G154:I154"/>
    <mergeCell ref="BI49:BK49"/>
    <mergeCell ref="R157:X157"/>
    <mergeCell ref="AY181:AZ181"/>
    <mergeCell ref="BD98:BE98"/>
    <mergeCell ref="Y145:AD145"/>
    <mergeCell ref="AR64:AT64"/>
    <mergeCell ref="Y139:AD139"/>
    <mergeCell ref="AK45:AL45"/>
    <mergeCell ref="BI163:BK163"/>
    <mergeCell ref="G25:I25"/>
    <mergeCell ref="J192:L192"/>
    <mergeCell ref="R28:X28"/>
    <mergeCell ref="AY52:AZ52"/>
    <mergeCell ref="G183:I183"/>
    <mergeCell ref="BC3:BD3"/>
    <mergeCell ref="G60:I60"/>
    <mergeCell ref="AK11:AL11"/>
    <mergeCell ref="AY44:AZ44"/>
    <mergeCell ref="J194:L194"/>
    <mergeCell ref="G149:I149"/>
    <mergeCell ref="R30:X30"/>
    <mergeCell ref="BA118:BC118"/>
    <mergeCell ref="AI193:AJ193"/>
    <mergeCell ref="G185:I185"/>
    <mergeCell ref="AP145:AQ145"/>
    <mergeCell ref="BF35:BH35"/>
    <mergeCell ref="AW135:AX135"/>
    <mergeCell ref="BI77:BK77"/>
    <mergeCell ref="AE176:AF176"/>
    <mergeCell ref="M100:Q100"/>
    <mergeCell ref="G151:I151"/>
    <mergeCell ref="G178:I178"/>
    <mergeCell ref="AP16:AQ16"/>
    <mergeCell ref="BA109:BC109"/>
    <mergeCell ref="AW12:AX12"/>
    <mergeCell ref="AP147:AQ147"/>
    <mergeCell ref="AE142:AF142"/>
    <mergeCell ref="BA22:BC22"/>
    <mergeCell ref="R175:X175"/>
    <mergeCell ref="AE178:AF178"/>
    <mergeCell ref="AK101:AL101"/>
    <mergeCell ref="AY199:AZ199"/>
    <mergeCell ref="M102:Q102"/>
    <mergeCell ref="AE55:AF55"/>
    <mergeCell ref="AR88:AT88"/>
    <mergeCell ref="R54:X54"/>
    <mergeCell ref="AG117:AH117"/>
    <mergeCell ref="AP18:AQ18"/>
    <mergeCell ref="AR82:AT82"/>
    <mergeCell ref="Y67:AD67"/>
    <mergeCell ref="AI182:AJ182"/>
    <mergeCell ref="AE144:AF144"/>
    <mergeCell ref="AY70:AZ70"/>
    <mergeCell ref="BA134:BC134"/>
    <mergeCell ref="R81:X81"/>
    <mergeCell ref="AW32:AX32"/>
    <mergeCell ref="AW7:AX7"/>
    <mergeCell ref="R56:X56"/>
    <mergeCell ref="AG119:AH119"/>
    <mergeCell ref="AI175:AJ175"/>
    <mergeCell ref="Y69:AD69"/>
    <mergeCell ref="AU88:AV88"/>
    <mergeCell ref="AR83:AT83"/>
    <mergeCell ref="Y158:AD158"/>
    <mergeCell ref="C136:F136"/>
    <mergeCell ref="BA108:BC108"/>
    <mergeCell ref="A7:B7"/>
    <mergeCell ref="AY96:AZ96"/>
    <mergeCell ref="BI95:BK95"/>
    <mergeCell ref="AG148:AH148"/>
    <mergeCell ref="BD170:BE170"/>
    <mergeCell ref="BI89:BK89"/>
    <mergeCell ref="BF25:BH25"/>
    <mergeCell ref="AP173:AQ173"/>
    <mergeCell ref="G79:I79"/>
    <mergeCell ref="J118:L118"/>
    <mergeCell ref="AI177:AJ177"/>
    <mergeCell ref="G73:I73"/>
    <mergeCell ref="AU90:AV90"/>
    <mergeCell ref="M128:Q128"/>
    <mergeCell ref="BI88:BK88"/>
    <mergeCell ref="AM7:AO7"/>
    <mergeCell ref="AP44:AQ44"/>
    <mergeCell ref="AY98:AZ98"/>
    <mergeCell ref="AW65:AX65"/>
    <mergeCell ref="BA162:BC162"/>
    <mergeCell ref="AE73:AF73"/>
    <mergeCell ref="AP158:AQ158"/>
    <mergeCell ref="AR141:AT141"/>
    <mergeCell ref="BI90:BK90"/>
    <mergeCell ref="AW58:AX58"/>
    <mergeCell ref="BA164:BC164"/>
    <mergeCell ref="AM36:AO36"/>
    <mergeCell ref="AY123:AZ123"/>
    <mergeCell ref="AG137:AH137"/>
    <mergeCell ref="AM8:AO8"/>
    <mergeCell ref="BD40:BE40"/>
    <mergeCell ref="Y87:AD87"/>
    <mergeCell ref="AW60:AX60"/>
    <mergeCell ref="AE74:AF74"/>
    <mergeCell ref="AE68:AF68"/>
    <mergeCell ref="BI121:BK121"/>
    <mergeCell ref="AG130:AH130"/>
    <mergeCell ref="AP72:AQ72"/>
    <mergeCell ref="Y89:AD89"/>
    <mergeCell ref="AR136:AT136"/>
    <mergeCell ref="R100:X100"/>
    <mergeCell ref="C120:F120"/>
    <mergeCell ref="AY124:AZ124"/>
    <mergeCell ref="AY118:AZ118"/>
    <mergeCell ref="AG132:AH132"/>
    <mergeCell ref="M146:Q146"/>
    <mergeCell ref="BI148:BK148"/>
    <mergeCell ref="BD41:BE41"/>
    <mergeCell ref="BF105:BH105"/>
    <mergeCell ref="BA188:BC188"/>
    <mergeCell ref="AI48:AJ48"/>
    <mergeCell ref="Y82:AD82"/>
    <mergeCell ref="G101:I101"/>
    <mergeCell ref="AP184:AQ184"/>
    <mergeCell ref="M181:Q181"/>
    <mergeCell ref="AY126:AZ126"/>
    <mergeCell ref="BA190:BC190"/>
    <mergeCell ref="C149:F149"/>
    <mergeCell ref="AU20:AV20"/>
    <mergeCell ref="A45:B45"/>
    <mergeCell ref="AU14:AV14"/>
    <mergeCell ref="BD43:BE43"/>
    <mergeCell ref="BF107:BH107"/>
    <mergeCell ref="M52:Q52"/>
    <mergeCell ref="AK112:AL112"/>
    <mergeCell ref="G92:I92"/>
    <mergeCell ref="BI143:BK143"/>
    <mergeCell ref="AU13:AV13"/>
    <mergeCell ref="R127:X127"/>
    <mergeCell ref="AW78:AX78"/>
    <mergeCell ref="AE92:AF92"/>
    <mergeCell ref="BI20:BK20"/>
    <mergeCell ref="AW200:AX200"/>
    <mergeCell ref="A46:B46"/>
    <mergeCell ref="M174:Q174"/>
    <mergeCell ref="AU15:AV15"/>
    <mergeCell ref="AR154:AT154"/>
    <mergeCell ref="BF161:BH161"/>
    <mergeCell ref="AW80:AX80"/>
    <mergeCell ref="AY142:AZ142"/>
    <mergeCell ref="A105:B105"/>
    <mergeCell ref="Y108:AD108"/>
    <mergeCell ref="AG194:AH194"/>
    <mergeCell ref="R128:X128"/>
    <mergeCell ref="AR156:AT156"/>
    <mergeCell ref="AG160:AH160"/>
    <mergeCell ref="A71:B71"/>
    <mergeCell ref="AW73:AX73"/>
    <mergeCell ref="AE87:AF87"/>
    <mergeCell ref="BI134:BK134"/>
    <mergeCell ref="Y141:AD141"/>
    <mergeCell ref="BI159:BK159"/>
    <mergeCell ref="BD25:BE25"/>
    <mergeCell ref="AK41:AL41"/>
    <mergeCell ref="J188:L188"/>
    <mergeCell ref="M199:Q199"/>
    <mergeCell ref="AY48:AZ48"/>
    <mergeCell ref="BI47:BK47"/>
    <mergeCell ref="AR149:AT149"/>
    <mergeCell ref="C177:F177"/>
    <mergeCell ref="AY137:AZ137"/>
    <mergeCell ref="A100:B100"/>
    <mergeCell ref="Y143:AD143"/>
    <mergeCell ref="BI161:BK161"/>
    <mergeCell ref="J190:L190"/>
    <mergeCell ref="G145:I145"/>
    <mergeCell ref="BI40:BK40"/>
    <mergeCell ref="G120:I120"/>
    <mergeCell ref="BA114:BC114"/>
    <mergeCell ref="M200:Q200"/>
    <mergeCell ref="AR151:AT151"/>
    <mergeCell ref="G181:I181"/>
    <mergeCell ref="M194:Q194"/>
    <mergeCell ref="AP116:AQ116"/>
    <mergeCell ref="AR180:AT180"/>
    <mergeCell ref="AK36:AL36"/>
    <mergeCell ref="A102:B102"/>
    <mergeCell ref="AU33:AV33"/>
    <mergeCell ref="BI48:BK48"/>
    <mergeCell ref="AU155:AV155"/>
    <mergeCell ref="BA122:BC122"/>
    <mergeCell ref="M71:Q71"/>
    <mergeCell ref="G147:I147"/>
    <mergeCell ref="G174:I174"/>
    <mergeCell ref="BI162:BK162"/>
    <mergeCell ref="AE138:AF138"/>
    <mergeCell ref="AE113:AF113"/>
    <mergeCell ref="AY1:BK1"/>
    <mergeCell ref="AY195:AZ195"/>
    <mergeCell ref="AU157:AV157"/>
    <mergeCell ref="AE174:AF174"/>
    <mergeCell ref="BF32:BH32"/>
    <mergeCell ref="AP111:AQ111"/>
    <mergeCell ref="AR175:AT175"/>
    <mergeCell ref="R181:X181"/>
    <mergeCell ref="AY188:AZ188"/>
    <mergeCell ref="AU28:AV28"/>
    <mergeCell ref="BD122:BE122"/>
    <mergeCell ref="BI187:BK187"/>
    <mergeCell ref="J32:L32"/>
    <mergeCell ref="AW3:AX3"/>
    <mergeCell ref="R52:X52"/>
    <mergeCell ref="AR177:AT177"/>
    <mergeCell ref="AK39:AL39"/>
    <mergeCell ref="AI6:AJ6"/>
    <mergeCell ref="BA132:BC132"/>
    <mergeCell ref="AU30:AV30"/>
    <mergeCell ref="R166:X166"/>
    <mergeCell ref="AE169:AF169"/>
    <mergeCell ref="AU84:AV84"/>
    <mergeCell ref="AU59:AV59"/>
    <mergeCell ref="AR79:AT79"/>
    <mergeCell ref="Y154:AD154"/>
    <mergeCell ref="BI189:BK189"/>
    <mergeCell ref="AY190:AZ190"/>
    <mergeCell ref="AG198:AH198"/>
    <mergeCell ref="AK54:AL54"/>
    <mergeCell ref="A120:B120"/>
    <mergeCell ref="G200:I200"/>
    <mergeCell ref="BI188:BK188"/>
    <mergeCell ref="AG75:AH75"/>
    <mergeCell ref="BF21:BH21"/>
    <mergeCell ref="BI182:BK182"/>
    <mergeCell ref="AK64:AL64"/>
    <mergeCell ref="G44:I44"/>
    <mergeCell ref="AU86:AV86"/>
    <mergeCell ref="AE200:AF200"/>
    <mergeCell ref="A113:B113"/>
    <mergeCell ref="M124:Q124"/>
    <mergeCell ref="Y156:AD156"/>
    <mergeCell ref="BI59:BK59"/>
    <mergeCell ref="BA133:BC133"/>
    <mergeCell ref="A32:B32"/>
    <mergeCell ref="G158:I158"/>
    <mergeCell ref="BA127:BC127"/>
    <mergeCell ref="AK72:AL72"/>
    <mergeCell ref="AW150:AX150"/>
    <mergeCell ref="M126:Q126"/>
    <mergeCell ref="AW144:AX144"/>
    <mergeCell ref="AE158:AF158"/>
    <mergeCell ref="AP164:AQ164"/>
    <mergeCell ref="BF16:BH16"/>
    <mergeCell ref="AE37:AF37"/>
    <mergeCell ref="BF52:BH52"/>
    <mergeCell ref="AU81:AV81"/>
    <mergeCell ref="R192:X192"/>
    <mergeCell ref="AE195:AF195"/>
    <mergeCell ref="Y180:AD180"/>
    <mergeCell ref="BF18:BH18"/>
    <mergeCell ref="G191:I191"/>
    <mergeCell ref="R194:X194"/>
    <mergeCell ref="AW145:AX145"/>
    <mergeCell ref="AE197:AF197"/>
    <mergeCell ref="AI17:AJ17"/>
    <mergeCell ref="BD141:BE141"/>
    <mergeCell ref="BD135:BE135"/>
    <mergeCell ref="Y182:AD182"/>
    <mergeCell ref="AR101:AT101"/>
    <mergeCell ref="AK82:AL82"/>
    <mergeCell ref="G184:I184"/>
    <mergeCell ref="J45:L45"/>
    <mergeCell ref="AW147:AX147"/>
    <mergeCell ref="AP180:AQ180"/>
    <mergeCell ref="AI19:AJ19"/>
    <mergeCell ref="AE184:AF184"/>
    <mergeCell ref="BI112:BK112"/>
    <mergeCell ref="AR92:AT92"/>
    <mergeCell ref="BA186:BC186"/>
    <mergeCell ref="A16:B16"/>
    <mergeCell ref="BF103:BH103"/>
    <mergeCell ref="BF78:BH78"/>
    <mergeCell ref="AP182:AQ182"/>
    <mergeCell ref="A174:B174"/>
    <mergeCell ref="AU105:AV105"/>
    <mergeCell ref="AW172:AX172"/>
    <mergeCell ref="AU99:AV99"/>
    <mergeCell ref="BI114:BK114"/>
    <mergeCell ref="M137:Q137"/>
    <mergeCell ref="AM16:AO16"/>
    <mergeCell ref="A18:B18"/>
    <mergeCell ref="BA146:BC146"/>
    <mergeCell ref="AE126:AF126"/>
    <mergeCell ref="AW171:AX171"/>
    <mergeCell ref="AK110:AL110"/>
    <mergeCell ref="AE179:AF179"/>
    <mergeCell ref="AW163:AX163"/>
    <mergeCell ref="M139:Q139"/>
    <mergeCell ref="BF98:BH98"/>
    <mergeCell ref="AR125:AT125"/>
    <mergeCell ref="AM18:AO18"/>
    <mergeCell ref="AW42:AX42"/>
    <mergeCell ref="A47:B47"/>
    <mergeCell ref="AG190:AH190"/>
    <mergeCell ref="AU100:AV100"/>
    <mergeCell ref="C85:F85"/>
    <mergeCell ref="AM17:AO17"/>
    <mergeCell ref="AI37:AJ37"/>
    <mergeCell ref="R124:X124"/>
    <mergeCell ref="BD146:BE146"/>
    <mergeCell ref="R118:X118"/>
    <mergeCell ref="AM53:AO53"/>
    <mergeCell ref="AW44:AX44"/>
    <mergeCell ref="AM47:AO47"/>
    <mergeCell ref="BD65:BE65"/>
    <mergeCell ref="BI130:BK130"/>
    <mergeCell ref="Y106:AD106"/>
    <mergeCell ref="AU125:AV125"/>
    <mergeCell ref="AM19:AO19"/>
    <mergeCell ref="AR120:AT120"/>
    <mergeCell ref="AM46:AO46"/>
    <mergeCell ref="R126:X126"/>
    <mergeCell ref="A44:B44"/>
    <mergeCell ref="AY133:AZ133"/>
    <mergeCell ref="BF131:BH131"/>
    <mergeCell ref="BI132:BK132"/>
    <mergeCell ref="AG185:AH185"/>
    <mergeCell ref="AK136:AL136"/>
    <mergeCell ref="G116:I116"/>
    <mergeCell ref="AU127:AV127"/>
    <mergeCell ref="AP53:AQ53"/>
    <mergeCell ref="AM48:AO48"/>
    <mergeCell ref="BI125:BK125"/>
    <mergeCell ref="AM44:AO44"/>
    <mergeCell ref="A98:B98"/>
    <mergeCell ref="AK7:AL7"/>
    <mergeCell ref="A73:B73"/>
    <mergeCell ref="AY135:AZ135"/>
    <mergeCell ref="BA199:BC199"/>
    <mergeCell ref="G118:I118"/>
    <mergeCell ref="AR178:AT178"/>
    <mergeCell ref="BI127:BK127"/>
    <mergeCell ref="AE109:AF109"/>
    <mergeCell ref="AM73:AO73"/>
    <mergeCell ref="C13:F13"/>
    <mergeCell ref="AE145:AF145"/>
    <mergeCell ref="AM45:AO45"/>
    <mergeCell ref="AR171:AT171"/>
    <mergeCell ref="BA200:BC200"/>
    <mergeCell ref="AE111:AF111"/>
    <mergeCell ref="AU24:AV24"/>
    <mergeCell ref="C15:F15"/>
    <mergeCell ref="AG27:AH27"/>
    <mergeCell ref="AR173:AT173"/>
    <mergeCell ref="AU26:AV26"/>
    <mergeCell ref="R137:X137"/>
    <mergeCell ref="AE140:AF140"/>
    <mergeCell ref="C184:F184"/>
    <mergeCell ref="BA41:BC41"/>
    <mergeCell ref="BD78:BE78"/>
    <mergeCell ref="AI91:AJ91"/>
    <mergeCell ref="AR44:AT44"/>
    <mergeCell ref="BF142:BH142"/>
    <mergeCell ref="C10:F10"/>
    <mergeCell ref="A126:B126"/>
    <mergeCell ref="AU57:AV57"/>
    <mergeCell ref="AY146:AZ146"/>
    <mergeCell ref="A109:B109"/>
    <mergeCell ref="BD80:BE80"/>
    <mergeCell ref="AI93:AJ93"/>
    <mergeCell ref="AW113:AX113"/>
    <mergeCell ref="BF144:BH144"/>
    <mergeCell ref="AK149:AL149"/>
    <mergeCell ref="AU171:AV171"/>
    <mergeCell ref="BI186:BK186"/>
    <mergeCell ref="AU50:AV50"/>
    <mergeCell ref="A117:B117"/>
    <mergeCell ref="BI5:BK6"/>
    <mergeCell ref="A111:B111"/>
    <mergeCell ref="AW115:AX115"/>
    <mergeCell ref="BI57:BK57"/>
    <mergeCell ref="AK151:AL151"/>
    <mergeCell ref="AU52:AV52"/>
    <mergeCell ref="AR191:AT191"/>
    <mergeCell ref="AM117:AO117"/>
    <mergeCell ref="AM92:AO92"/>
    <mergeCell ref="AY3:AZ3"/>
    <mergeCell ref="AY179:AZ179"/>
    <mergeCell ref="A142:B142"/>
    <mergeCell ref="AG38:AH38"/>
    <mergeCell ref="AE193:AF193"/>
    <mergeCell ref="BD131:BE131"/>
    <mergeCell ref="Y178:AD178"/>
    <mergeCell ref="AG46:AH46"/>
    <mergeCell ref="C28:F28"/>
    <mergeCell ref="AU5:BH5"/>
    <mergeCell ref="AG40:AH40"/>
    <mergeCell ref="BA126:BC126"/>
    <mergeCell ref="J41:L41"/>
    <mergeCell ref="J16:L16"/>
    <mergeCell ref="BD8:BE8"/>
    <mergeCell ref="AI15:AJ15"/>
    <mergeCell ref="A137:B137"/>
    <mergeCell ref="BI198:BK198"/>
    <mergeCell ref="C30:F30"/>
    <mergeCell ref="G188:I188"/>
    <mergeCell ref="AI104:AJ104"/>
    <mergeCell ref="BF38:BH38"/>
    <mergeCell ref="G182:I182"/>
    <mergeCell ref="Y5:AD6"/>
    <mergeCell ref="J43:L43"/>
    <mergeCell ref="BF74:BH74"/>
    <mergeCell ref="AK79:AL79"/>
    <mergeCell ref="A145:B145"/>
    <mergeCell ref="A139:B139"/>
    <mergeCell ref="AU70:AV70"/>
    <mergeCell ref="BF163:BH163"/>
    <mergeCell ref="AU192:AV192"/>
    <mergeCell ref="BF67:BH67"/>
    <mergeCell ref="BI199:BK199"/>
    <mergeCell ref="AK81:AL81"/>
    <mergeCell ref="AM145:AO145"/>
    <mergeCell ref="AE175:AF175"/>
    <mergeCell ref="R7:X7"/>
    <mergeCell ref="AU194:AV194"/>
    <mergeCell ref="J67:L67"/>
    <mergeCell ref="BF69:BH69"/>
    <mergeCell ref="BI70:BK70"/>
    <mergeCell ref="BD149:BE149"/>
    <mergeCell ref="AW169:AX169"/>
    <mergeCell ref="AY16:AZ16"/>
    <mergeCell ref="AI33:AJ33"/>
    <mergeCell ref="J69:L69"/>
    <mergeCell ref="AM140:AO140"/>
    <mergeCell ref="BD150:BE150"/>
    <mergeCell ref="C110:F110"/>
    <mergeCell ref="AY18:AZ18"/>
    <mergeCell ref="BD144:BE144"/>
    <mergeCell ref="AI157:AJ157"/>
    <mergeCell ref="Y51:AD51"/>
    <mergeCell ref="Y191:AD191"/>
    <mergeCell ref="J98:L98"/>
    <mergeCell ref="G53:I53"/>
    <mergeCell ref="AI34:AJ34"/>
    <mergeCell ref="AI28:AJ28"/>
    <mergeCell ref="AU123:AV123"/>
    <mergeCell ref="AP24:AQ24"/>
    <mergeCell ref="BA170:BC170"/>
    <mergeCell ref="A69:B69"/>
    <mergeCell ref="BF87:BH87"/>
    <mergeCell ref="AI30:AJ30"/>
    <mergeCell ref="AK92:AL92"/>
    <mergeCell ref="AP51:AQ51"/>
    <mergeCell ref="AP26:AQ26"/>
    <mergeCell ref="A183:B183"/>
    <mergeCell ref="AW187:AX187"/>
    <mergeCell ref="BA172:BC172"/>
    <mergeCell ref="A193:B193"/>
    <mergeCell ref="AU124:AV124"/>
    <mergeCell ref="BF89:BH89"/>
    <mergeCell ref="AU118:AV118"/>
    <mergeCell ref="AW180:AX180"/>
    <mergeCell ref="AK94:AL94"/>
    <mergeCell ref="AM158:AO158"/>
    <mergeCell ref="Y33:AD33"/>
    <mergeCell ref="C128:F128"/>
    <mergeCell ref="AW182:AX182"/>
    <mergeCell ref="AI54:AJ54"/>
    <mergeCell ref="AM160:AO160"/>
    <mergeCell ref="BD178:BE178"/>
    <mergeCell ref="C100:F100"/>
    <mergeCell ref="BD172:BE172"/>
    <mergeCell ref="AE1:AL1"/>
    <mergeCell ref="C94:F94"/>
    <mergeCell ref="AG112:AH112"/>
    <mergeCell ref="J82:L82"/>
    <mergeCell ref="BA12:BC12"/>
    <mergeCell ref="BD49:BE49"/>
    <mergeCell ref="AI62:AJ62"/>
    <mergeCell ref="BF113:BH113"/>
    <mergeCell ref="AI56:AJ56"/>
    <mergeCell ref="AP77:AQ77"/>
    <mergeCell ref="AM72:AO72"/>
    <mergeCell ref="C129:F129"/>
    <mergeCell ref="AU134:AV134"/>
    <mergeCell ref="BD163:BE163"/>
    <mergeCell ref="AI176:AJ176"/>
    <mergeCell ref="M32:Q32"/>
    <mergeCell ref="BF140:BH140"/>
    <mergeCell ref="BF115:BH115"/>
    <mergeCell ref="C95:F95"/>
    <mergeCell ref="AK145:AL145"/>
    <mergeCell ref="AK120:AL120"/>
    <mergeCell ref="AU142:AV142"/>
    <mergeCell ref="AP37:AQ37"/>
    <mergeCell ref="AM59:AO59"/>
    <mergeCell ref="A82:B82"/>
    <mergeCell ref="BA43:BC43"/>
    <mergeCell ref="AK147:AL147"/>
    <mergeCell ref="BF141:BH141"/>
    <mergeCell ref="AR13:AT13"/>
    <mergeCell ref="AM88:AO88"/>
    <mergeCell ref="AM82:AO82"/>
    <mergeCell ref="AU137:AV137"/>
    <mergeCell ref="AG9:AH9"/>
    <mergeCell ref="AM54:AO54"/>
    <mergeCell ref="BF143:BH143"/>
    <mergeCell ref="AR15:AT15"/>
    <mergeCell ref="AM90:AO90"/>
    <mergeCell ref="AG36:AH36"/>
    <mergeCell ref="J12:L12"/>
    <mergeCell ref="BD191:BE191"/>
    <mergeCell ref="AM83:AO83"/>
    <mergeCell ref="M16:Q16"/>
    <mergeCell ref="BF168:BH168"/>
    <mergeCell ref="AK173:AL173"/>
    <mergeCell ref="BA25:BC25"/>
    <mergeCell ref="AI100:AJ100"/>
    <mergeCell ref="AP90:AQ90"/>
    <mergeCell ref="AM85:AO85"/>
    <mergeCell ref="A141:B141"/>
    <mergeCell ref="BI22:BK22"/>
    <mergeCell ref="M18:Q18"/>
    <mergeCell ref="AK44:AL44"/>
    <mergeCell ref="M45:Q45"/>
    <mergeCell ref="A135:B135"/>
    <mergeCell ref="C55:F55"/>
    <mergeCell ref="AI102:AJ102"/>
    <mergeCell ref="AE151:AF151"/>
    <mergeCell ref="BF153:BH153"/>
    <mergeCell ref="BF159:BH159"/>
    <mergeCell ref="AK158:AL158"/>
    <mergeCell ref="AU163:AV163"/>
    <mergeCell ref="AU188:AV188"/>
    <mergeCell ref="M17:Q17"/>
    <mergeCell ref="AS3:AT3"/>
    <mergeCell ref="AG39:AH39"/>
    <mergeCell ref="M47:Q47"/>
    <mergeCell ref="AE182:AF182"/>
    <mergeCell ref="AU190:AV190"/>
    <mergeCell ref="AY46:AZ46"/>
    <mergeCell ref="M19:Q19"/>
    <mergeCell ref="AM143:AO143"/>
    <mergeCell ref="AU61:AV61"/>
    <mergeCell ref="BF154:BH154"/>
    <mergeCell ref="R32:X32"/>
    <mergeCell ref="C52:F52"/>
    <mergeCell ref="AY12:AZ12"/>
    <mergeCell ref="AG64:AH64"/>
    <mergeCell ref="BD113:BE113"/>
    <mergeCell ref="J182:L182"/>
    <mergeCell ref="Y20:AD20"/>
    <mergeCell ref="BI38:BK38"/>
    <mergeCell ref="Y14:AD14"/>
    <mergeCell ref="AM136:AO136"/>
    <mergeCell ref="AW125:AX125"/>
    <mergeCell ref="M44:Q44"/>
    <mergeCell ref="AE177:AF177"/>
    <mergeCell ref="C81:F81"/>
    <mergeCell ref="BD115:BE115"/>
    <mergeCell ref="AY41:AZ41"/>
    <mergeCell ref="C37:F37"/>
    <mergeCell ref="Y22:AD22"/>
    <mergeCell ref="AI128:AJ128"/>
    <mergeCell ref="AK184:AL184"/>
    <mergeCell ref="G24:I24"/>
    <mergeCell ref="J25:L25"/>
    <mergeCell ref="AY13:AZ13"/>
    <mergeCell ref="J183:L183"/>
    <mergeCell ref="AP20:AQ20"/>
    <mergeCell ref="AY43:AZ43"/>
    <mergeCell ref="BA107:BC107"/>
    <mergeCell ref="AK192:AL192"/>
    <mergeCell ref="AP109:AQ109"/>
    <mergeCell ref="G26:I26"/>
    <mergeCell ref="A154:B154"/>
    <mergeCell ref="AP22:AQ22"/>
    <mergeCell ref="AE17:AF17"/>
    <mergeCell ref="BD143:BE143"/>
    <mergeCell ref="AP15:AQ15"/>
    <mergeCell ref="AM154:AO154"/>
    <mergeCell ref="R16:X16"/>
    <mergeCell ref="AE19:AF19"/>
    <mergeCell ref="AY67:AZ67"/>
    <mergeCell ref="C63:F63"/>
    <mergeCell ref="BG2:BH2"/>
    <mergeCell ref="R174:X174"/>
    <mergeCell ref="AR81:AT81"/>
    <mergeCell ref="AM156:AO156"/>
    <mergeCell ref="G42:I42"/>
    <mergeCell ref="BD168:BE168"/>
    <mergeCell ref="AI181:AJ181"/>
    <mergeCell ref="R45:X45"/>
    <mergeCell ref="AG83:AH83"/>
    <mergeCell ref="AY25:AZ25"/>
    <mergeCell ref="J84:L84"/>
    <mergeCell ref="Y58:AD58"/>
    <mergeCell ref="BF80:BH80"/>
    <mergeCell ref="AM155:AO155"/>
    <mergeCell ref="BA8:BC8"/>
    <mergeCell ref="AI52:AJ52"/>
    <mergeCell ref="AG110:AH110"/>
    <mergeCell ref="R47:X47"/>
    <mergeCell ref="AP162:AQ162"/>
    <mergeCell ref="Y35:AD35"/>
    <mergeCell ref="J80:L80"/>
    <mergeCell ref="J107:L107"/>
    <mergeCell ref="BA10:BC10"/>
    <mergeCell ref="BF111:BH111"/>
    <mergeCell ref="AM151:AO151"/>
    <mergeCell ref="G37:I37"/>
    <mergeCell ref="BD169:BE169"/>
    <mergeCell ref="AK116:AL116"/>
    <mergeCell ref="AM180:AO180"/>
    <mergeCell ref="M117:Q117"/>
    <mergeCell ref="A182:B182"/>
    <mergeCell ref="J79:L79"/>
    <mergeCell ref="A5:B6"/>
    <mergeCell ref="AP33:AQ33"/>
    <mergeCell ref="AP155:AQ155"/>
    <mergeCell ref="AI53:AJ53"/>
    <mergeCell ref="AW23:AX23"/>
    <mergeCell ref="BA39:BC39"/>
    <mergeCell ref="AK118:AL118"/>
    <mergeCell ref="BA92:BC92"/>
    <mergeCell ref="M119:Q119"/>
    <mergeCell ref="AM182:AO182"/>
    <mergeCell ref="AP35:AQ35"/>
    <mergeCell ref="AR99:AT99"/>
    <mergeCell ref="AP157:AQ157"/>
    <mergeCell ref="Y84:AD84"/>
    <mergeCell ref="BF106:BH106"/>
    <mergeCell ref="A177:B177"/>
    <mergeCell ref="AG136:AH136"/>
    <mergeCell ref="AI70:AJ70"/>
    <mergeCell ref="Y86:AD86"/>
    <mergeCell ref="J106:L106"/>
    <mergeCell ref="AY114:AZ114"/>
    <mergeCell ref="J133:L133"/>
    <mergeCell ref="AM183:AO183"/>
    <mergeCell ref="AM177:AO177"/>
    <mergeCell ref="AG7:AH7"/>
    <mergeCell ref="AR100:AT100"/>
    <mergeCell ref="AP30:AQ30"/>
    <mergeCell ref="AI63:AJ63"/>
    <mergeCell ref="AW51:AX51"/>
    <mergeCell ref="AR94:AT94"/>
    <mergeCell ref="AP59:AQ59"/>
    <mergeCell ref="C147:F147"/>
    <mergeCell ref="BD187:BE187"/>
    <mergeCell ref="AI194:AJ194"/>
    <mergeCell ref="AI200:AJ200"/>
    <mergeCell ref="G96:I96"/>
    <mergeCell ref="J135:L135"/>
    <mergeCell ref="BA65:BC65"/>
    <mergeCell ref="BA21:BC21"/>
    <mergeCell ref="AI71:AJ71"/>
    <mergeCell ref="BI105:BK105"/>
    <mergeCell ref="AU160:AV160"/>
    <mergeCell ref="BD189:BE189"/>
    <mergeCell ref="AP61:AQ61"/>
    <mergeCell ref="G98:I98"/>
    <mergeCell ref="BA23:BC23"/>
    <mergeCell ref="C148:F148"/>
    <mergeCell ref="AI195:AJ195"/>
    <mergeCell ref="R116:X116"/>
    <mergeCell ref="M43:Q43"/>
    <mergeCell ref="AW77:AX77"/>
    <mergeCell ref="AE91:AF91"/>
    <mergeCell ref="AE85:AF85"/>
    <mergeCell ref="AG25:AH25"/>
    <mergeCell ref="G93:I93"/>
    <mergeCell ref="BA18:BC18"/>
    <mergeCell ref="C165:F165"/>
    <mergeCell ref="AE93:AF93"/>
    <mergeCell ref="G108:I108"/>
    <mergeCell ref="R117:X117"/>
    <mergeCell ref="AY141:AZ141"/>
    <mergeCell ref="AG149:AH149"/>
    <mergeCell ref="BD58:BE58"/>
    <mergeCell ref="Y105:AD105"/>
    <mergeCell ref="AR24:AT24"/>
    <mergeCell ref="Y99:AD99"/>
    <mergeCell ref="U2:Y2"/>
    <mergeCell ref="BA49:BC49"/>
    <mergeCell ref="C77:F77"/>
    <mergeCell ref="AI124:AJ124"/>
    <mergeCell ref="BI36:BK36"/>
    <mergeCell ref="R119:X119"/>
    <mergeCell ref="AE122:AF122"/>
    <mergeCell ref="AY143:AZ143"/>
    <mergeCell ref="G20:I20"/>
    <mergeCell ref="AG151:AH151"/>
    <mergeCell ref="C166:F166"/>
    <mergeCell ref="C160:F160"/>
    <mergeCell ref="AR26:AT26"/>
    <mergeCell ref="BA42:BC42"/>
    <mergeCell ref="Y101:AD101"/>
    <mergeCell ref="G109:I109"/>
    <mergeCell ref="AI126:AJ126"/>
    <mergeCell ref="BF177:BH177"/>
    <mergeCell ref="AY14:AZ14"/>
    <mergeCell ref="BA78:BC78"/>
    <mergeCell ref="AK182:AL182"/>
    <mergeCell ref="AK188:AL188"/>
    <mergeCell ref="A1:J3"/>
    <mergeCell ref="AP105:AQ105"/>
    <mergeCell ref="G22:I22"/>
    <mergeCell ref="AU179:AV179"/>
    <mergeCell ref="AM37:AO37"/>
    <mergeCell ref="U3:Y3"/>
    <mergeCell ref="AM94:AO94"/>
    <mergeCell ref="M77:Q77"/>
    <mergeCell ref="AP99:AQ99"/>
    <mergeCell ref="BA44:BC44"/>
    <mergeCell ref="M33:Q33"/>
    <mergeCell ref="BF176:BH176"/>
    <mergeCell ref="BI31:BK31"/>
    <mergeCell ref="AE13:AF13"/>
    <mergeCell ref="G111:I111"/>
    <mergeCell ref="BA80:BC80"/>
    <mergeCell ref="J181:L181"/>
    <mergeCell ref="AU32:AV32"/>
    <mergeCell ref="AP107:AQ107"/>
    <mergeCell ref="AW88:AX88"/>
    <mergeCell ref="BF178:BH178"/>
    <mergeCell ref="AM125:AO125"/>
    <mergeCell ref="AY153:AZ153"/>
    <mergeCell ref="M62:Q62"/>
    <mergeCell ref="AE15:AF15"/>
    <mergeCell ref="AK183:AL183"/>
    <mergeCell ref="AP100:AQ100"/>
    <mergeCell ref="AW96:AX96"/>
    <mergeCell ref="R139:X139"/>
    <mergeCell ref="M72:Q72"/>
    <mergeCell ref="AW90:AX90"/>
    <mergeCell ref="AE104:AF104"/>
    <mergeCell ref="AR52:AT52"/>
    <mergeCell ref="AM127:AO127"/>
    <mergeCell ref="AY65:AZ65"/>
    <mergeCell ref="AG79:AH79"/>
    <mergeCell ref="AG73:AH73"/>
    <mergeCell ref="AP102:AQ102"/>
    <mergeCell ref="M87:Q87"/>
    <mergeCell ref="AR166:AT166"/>
    <mergeCell ref="Y29:AD29"/>
    <mergeCell ref="J49:L49"/>
    <mergeCell ref="AY154:AZ154"/>
    <mergeCell ref="AM120:AO120"/>
    <mergeCell ref="M59:Q59"/>
    <mergeCell ref="G162:I162"/>
    <mergeCell ref="R43:X43"/>
    <mergeCell ref="J5:L6"/>
    <mergeCell ref="AG81:AH81"/>
    <mergeCell ref="AI137:AJ137"/>
    <mergeCell ref="Y31:AD31"/>
    <mergeCell ref="AP127:AQ127"/>
    <mergeCell ref="AY156:AZ156"/>
    <mergeCell ref="G33:I33"/>
    <mergeCell ref="BI65:BK65"/>
    <mergeCell ref="M88:Q88"/>
    <mergeCell ref="M82:Q82"/>
    <mergeCell ref="BF196:BH196"/>
    <mergeCell ref="AI139:AJ139"/>
    <mergeCell ref="M54:Q54"/>
    <mergeCell ref="G35:I35"/>
    <mergeCell ref="AG76:AH76"/>
    <mergeCell ref="M90:Q90"/>
    <mergeCell ref="AW108:AX108"/>
    <mergeCell ref="R67:X67"/>
    <mergeCell ref="AI51:AJ51"/>
    <mergeCell ref="AY83:AZ83"/>
    <mergeCell ref="Y186:AD186"/>
    <mergeCell ref="BF191:BH191"/>
    <mergeCell ref="R69:X69"/>
    <mergeCell ref="AW20:AX20"/>
    <mergeCell ref="AY49:AZ49"/>
    <mergeCell ref="AE28:AF28"/>
    <mergeCell ref="AG101:AH101"/>
    <mergeCell ref="AI183:AJ183"/>
    <mergeCell ref="BD10:BE10"/>
    <mergeCell ref="BI75:BK75"/>
    <mergeCell ref="AM173:AO173"/>
    <mergeCell ref="G59:I59"/>
    <mergeCell ref="AR96:AT96"/>
    <mergeCell ref="Y171:AD171"/>
    <mergeCell ref="A20:B20"/>
    <mergeCell ref="AW22:AX22"/>
    <mergeCell ref="AY84:AZ84"/>
    <mergeCell ref="AE30:AF30"/>
    <mergeCell ref="AY78:AZ78"/>
    <mergeCell ref="AG92:AH92"/>
    <mergeCell ref="C118:F118"/>
    <mergeCell ref="AI165:AJ165"/>
    <mergeCell ref="J131:L131"/>
    <mergeCell ref="G67:I67"/>
    <mergeCell ref="AM181:AO181"/>
    <mergeCell ref="G61:I61"/>
    <mergeCell ref="AR98:AT98"/>
    <mergeCell ref="Y173:AD173"/>
    <mergeCell ref="A13:B13"/>
    <mergeCell ref="M141:Q141"/>
    <mergeCell ref="AP57:AQ57"/>
    <mergeCell ref="BA150:BC150"/>
    <mergeCell ref="AY80:AZ80"/>
    <mergeCell ref="Y44:AD44"/>
    <mergeCell ref="AP146:AQ146"/>
    <mergeCell ref="A15:B15"/>
    <mergeCell ref="M143:Q143"/>
    <mergeCell ref="BI103:BK103"/>
    <mergeCell ref="A191:B191"/>
    <mergeCell ref="AP181:AQ181"/>
    <mergeCell ref="BF33:BH33"/>
    <mergeCell ref="A51:B51"/>
    <mergeCell ref="AE54:AF54"/>
    <mergeCell ref="G62:I62"/>
    <mergeCell ref="AU98:AV98"/>
    <mergeCell ref="AW38:AX38"/>
    <mergeCell ref="AP58:AQ58"/>
    <mergeCell ref="AP52:AQ52"/>
    <mergeCell ref="AE56:AF56"/>
    <mergeCell ref="AW162:AX162"/>
    <mergeCell ref="AR124:AT124"/>
    <mergeCell ref="AG145:AH145"/>
    <mergeCell ref="R82:X82"/>
    <mergeCell ref="AW33:AX33"/>
    <mergeCell ref="AY106:AZ106"/>
    <mergeCell ref="AG120:AH120"/>
    <mergeCell ref="BD29:BE29"/>
    <mergeCell ref="AW164:AX164"/>
    <mergeCell ref="BD23:BE23"/>
    <mergeCell ref="Y70:AD70"/>
    <mergeCell ref="J142:L142"/>
    <mergeCell ref="AR126:AT126"/>
    <mergeCell ref="AM192:AO192"/>
    <mergeCell ref="BI129:BK129"/>
    <mergeCell ref="AR109:AT109"/>
    <mergeCell ref="AG147:AH147"/>
    <mergeCell ref="A33:B33"/>
    <mergeCell ref="AW35:AX35"/>
    <mergeCell ref="AG174:AH174"/>
    <mergeCell ref="Y97:AD97"/>
    <mergeCell ref="J150:L150"/>
    <mergeCell ref="AP199:AQ199"/>
    <mergeCell ref="J144:L144"/>
    <mergeCell ref="BA47:BC47"/>
    <mergeCell ref="AY10:AZ10"/>
    <mergeCell ref="BA74:BC74"/>
    <mergeCell ref="BI131:BK131"/>
    <mergeCell ref="M154:Q154"/>
    <mergeCell ref="C164:F164"/>
    <mergeCell ref="J116:L116"/>
    <mergeCell ref="A35:B35"/>
    <mergeCell ref="AP70:AQ70"/>
    <mergeCell ref="A62:B62"/>
    <mergeCell ref="BA163:BC163"/>
    <mergeCell ref="BA40:BC40"/>
    <mergeCell ref="G107:I107"/>
    <mergeCell ref="BI2:BK2"/>
    <mergeCell ref="BA76:BC76"/>
    <mergeCell ref="R110:X110"/>
    <mergeCell ref="A28:B28"/>
    <mergeCell ref="M156:Q156"/>
    <mergeCell ref="AG171:AH171"/>
    <mergeCell ref="AP200:AQ200"/>
    <mergeCell ref="AW59:AX59"/>
    <mergeCell ref="U1:Y1"/>
    <mergeCell ref="BA165:BC165"/>
    <mergeCell ref="AP194:AQ194"/>
    <mergeCell ref="M155:Q155"/>
    <mergeCell ref="AM34:AO34"/>
    <mergeCell ref="R141:X141"/>
    <mergeCell ref="A30:B30"/>
    <mergeCell ref="AG173:AH173"/>
    <mergeCell ref="AW86:AX86"/>
    <mergeCell ref="A59:B59"/>
    <mergeCell ref="AE100:AF100"/>
    <mergeCell ref="Y129:AD129"/>
    <mergeCell ref="AG200:AH200"/>
    <mergeCell ref="Y123:AD123"/>
    <mergeCell ref="AR162:AT162"/>
    <mergeCell ref="AG44:AH44"/>
    <mergeCell ref="AR137:AT137"/>
    <mergeCell ref="R143:X143"/>
    <mergeCell ref="M180:Q180"/>
    <mergeCell ref="C190:F190"/>
    <mergeCell ref="AE102:AF102"/>
    <mergeCell ref="A61:B61"/>
    <mergeCell ref="AY150:AZ150"/>
    <mergeCell ref="AG158:AH158"/>
    <mergeCell ref="G133:I133"/>
    <mergeCell ref="J172:L172"/>
    <mergeCell ref="R14:X14"/>
    <mergeCell ref="R136:X136"/>
    <mergeCell ref="AR164:AT164"/>
    <mergeCell ref="AR139:AT139"/>
    <mergeCell ref="AI108:AJ108"/>
    <mergeCell ref="AP129:AQ129"/>
    <mergeCell ref="Y124:AD124"/>
    <mergeCell ref="BI142:BK142"/>
    <mergeCell ref="AY152:AZ152"/>
    <mergeCell ref="AK24:AL24"/>
    <mergeCell ref="C175:F175"/>
    <mergeCell ref="M84:Q84"/>
    <mergeCell ref="G135:I135"/>
    <mergeCell ref="C185:F185"/>
    <mergeCell ref="BI144:BK144"/>
    <mergeCell ref="AK26:AL26"/>
    <mergeCell ref="BA59:BC59"/>
    <mergeCell ref="M86:Q86"/>
    <mergeCell ref="AW104:AX104"/>
    <mergeCell ref="G164:I164"/>
    <mergeCell ref="M80:Q80"/>
    <mergeCell ref="AP124:AQ124"/>
    <mergeCell ref="BA89:BC89"/>
    <mergeCell ref="AW114:AX114"/>
    <mergeCell ref="AU41:AV41"/>
    <mergeCell ref="AE128:AF128"/>
    <mergeCell ref="AE155:AF155"/>
    <mergeCell ref="AG184:AH184"/>
    <mergeCell ref="AW106:AX106"/>
    <mergeCell ref="AR59:AT59"/>
    <mergeCell ref="BA88:BC88"/>
    <mergeCell ref="Y134:AD134"/>
    <mergeCell ref="AP126:AQ126"/>
    <mergeCell ref="J14:L14"/>
    <mergeCell ref="AR190:AT190"/>
    <mergeCell ref="AW122:AX122"/>
    <mergeCell ref="AU43:AV43"/>
    <mergeCell ref="AW105:AX105"/>
    <mergeCell ref="R154:X154"/>
    <mergeCell ref="AE157:AF157"/>
    <mergeCell ref="AY178:AZ178"/>
    <mergeCell ref="AR67:AT67"/>
    <mergeCell ref="BD95:BE95"/>
    <mergeCell ref="Y142:AD142"/>
    <mergeCell ref="AR61:AT61"/>
    <mergeCell ref="BI73:BK73"/>
    <mergeCell ref="R156:X156"/>
    <mergeCell ref="A143:B143"/>
    <mergeCell ref="AY163:AZ163"/>
    <mergeCell ref="BD97:BE97"/>
    <mergeCell ref="G146:I146"/>
    <mergeCell ref="BA115:BC115"/>
    <mergeCell ref="AU67:AV67"/>
    <mergeCell ref="BC2:BD2"/>
    <mergeCell ref="Y137:AD137"/>
    <mergeCell ref="AP142:AQ142"/>
    <mergeCell ref="BI74:BK74"/>
    <mergeCell ref="BF29:BH29"/>
    <mergeCell ref="BI68:BK68"/>
    <mergeCell ref="G58:I58"/>
    <mergeCell ref="R151:X151"/>
    <mergeCell ref="AU69:AV69"/>
    <mergeCell ref="R180:X180"/>
    <mergeCell ref="AP144:AQ144"/>
    <mergeCell ref="BA141:BC141"/>
    <mergeCell ref="BI76:BK76"/>
    <mergeCell ref="M99:Q99"/>
    <mergeCell ref="AE52:AF52"/>
    <mergeCell ref="AP137:AQ137"/>
    <mergeCell ref="R182:X182"/>
    <mergeCell ref="AW133:AX133"/>
    <mergeCell ref="AW127:AX127"/>
    <mergeCell ref="Y195:AD195"/>
    <mergeCell ref="BA143:BC143"/>
    <mergeCell ref="C45:F45"/>
    <mergeCell ref="AM15:AO15"/>
    <mergeCell ref="J58:L58"/>
    <mergeCell ref="AG116:AH116"/>
    <mergeCell ref="AP139:AQ139"/>
    <mergeCell ref="BD19:BE19"/>
    <mergeCell ref="AI32:AJ32"/>
    <mergeCell ref="Y66:AD66"/>
    <mergeCell ref="AR122:AT122"/>
    <mergeCell ref="AE170:AF170"/>
    <mergeCell ref="AE53:AF53"/>
    <mergeCell ref="AY191:AZ191"/>
    <mergeCell ref="C47:F47"/>
    <mergeCell ref="Y197:AD197"/>
    <mergeCell ref="AG118:AH118"/>
    <mergeCell ref="C133:F133"/>
    <mergeCell ref="C127:F127"/>
    <mergeCell ref="BD27:BE27"/>
    <mergeCell ref="Y68:AD68"/>
    <mergeCell ref="AK96:AL96"/>
    <mergeCell ref="A156:B156"/>
    <mergeCell ref="G70:I70"/>
    <mergeCell ref="M125:Q125"/>
    <mergeCell ref="BD20:BE20"/>
    <mergeCell ref="BF84:BH84"/>
    <mergeCell ref="BA159:BC159"/>
    <mergeCell ref="AP163:AQ163"/>
    <mergeCell ref="AK98:AL98"/>
    <mergeCell ref="A24:B24"/>
    <mergeCell ref="M127:Q127"/>
    <mergeCell ref="BD22:BE22"/>
    <mergeCell ref="BF86:BH86"/>
    <mergeCell ref="BI87:BK87"/>
    <mergeCell ref="A60:B60"/>
    <mergeCell ref="AE63:AF63"/>
    <mergeCell ref="AK91:AL91"/>
    <mergeCell ref="BA161:BC161"/>
    <mergeCell ref="AP165:AQ165"/>
    <mergeCell ref="AW186:AX186"/>
    <mergeCell ref="AY120:AZ120"/>
    <mergeCell ref="AU82:AV82"/>
    <mergeCell ref="AP190:AQ190"/>
    <mergeCell ref="J86:L86"/>
    <mergeCell ref="AW57:AX57"/>
    <mergeCell ref="AE71:AF71"/>
    <mergeCell ref="AY113:AZ113"/>
    <mergeCell ref="BD9:BE9"/>
    <mergeCell ref="BD47:BE47"/>
    <mergeCell ref="AW146:AX146"/>
    <mergeCell ref="BD167:BE167"/>
    <mergeCell ref="AR133:AT133"/>
    <mergeCell ref="AI174:AJ174"/>
    <mergeCell ref="BA156:BC156"/>
    <mergeCell ref="BA195:BC195"/>
    <mergeCell ref="AY121:AZ121"/>
    <mergeCell ref="A84:B84"/>
    <mergeCell ref="AY115:AZ115"/>
    <mergeCell ref="BD38:BE38"/>
    <mergeCell ref="AI45:AJ45"/>
    <mergeCell ref="AR135:AT135"/>
    <mergeCell ref="A50:B50"/>
    <mergeCell ref="BI138:BK138"/>
    <mergeCell ref="BI113:BK113"/>
    <mergeCell ref="BA187:BC187"/>
    <mergeCell ref="BA3:BB3"/>
    <mergeCell ref="AK20:AL20"/>
    <mergeCell ref="A86:B86"/>
    <mergeCell ref="AU11:AV11"/>
    <mergeCell ref="BF104:BH104"/>
    <mergeCell ref="BD162:BE162"/>
    <mergeCell ref="AK109:AL109"/>
    <mergeCell ref="BA180:BC180"/>
    <mergeCell ref="Y122:AD122"/>
    <mergeCell ref="BI115:BK115"/>
    <mergeCell ref="BI140:BK140"/>
    <mergeCell ref="AK22:AL22"/>
    <mergeCell ref="BF70:BH70"/>
    <mergeCell ref="M5:Q6"/>
    <mergeCell ref="AU141:AV141"/>
    <mergeCell ref="AW75:AX75"/>
    <mergeCell ref="AK111:AL111"/>
    <mergeCell ref="AM175:AO175"/>
    <mergeCell ref="BA182:BC182"/>
    <mergeCell ref="A81:B81"/>
    <mergeCell ref="AE124:AF124"/>
    <mergeCell ref="AU12:AV12"/>
    <mergeCell ref="BD35:BE35"/>
    <mergeCell ref="BF99:BH99"/>
    <mergeCell ref="G126:I126"/>
    <mergeCell ref="AU143:AV143"/>
    <mergeCell ref="BA84:BC84"/>
    <mergeCell ref="AW199:AX199"/>
    <mergeCell ref="BI141:BK141"/>
    <mergeCell ref="AG188:AH188"/>
    <mergeCell ref="R125:X125"/>
    <mergeCell ref="J99:L99"/>
    <mergeCell ref="AW70:AX70"/>
    <mergeCell ref="BD91:BE91"/>
    <mergeCell ref="BD66:BE66"/>
    <mergeCell ref="J179:L179"/>
    <mergeCell ref="BI166:BK166"/>
    <mergeCell ref="AR146:AT146"/>
    <mergeCell ref="J101:L101"/>
    <mergeCell ref="A70:B70"/>
    <mergeCell ref="AY134:AZ134"/>
    <mergeCell ref="BD93:BE93"/>
    <mergeCell ref="J187:L187"/>
    <mergeCell ref="AK162:AL162"/>
    <mergeCell ref="BI37:BK37"/>
    <mergeCell ref="BA111:BC111"/>
    <mergeCell ref="R120:X120"/>
    <mergeCell ref="AU153:AV153"/>
    <mergeCell ref="BI168:BK168"/>
    <mergeCell ref="AG183:AH183"/>
    <mergeCell ref="M191:Q191"/>
    <mergeCell ref="M51:Q51"/>
    <mergeCell ref="AK33:AL33"/>
    <mergeCell ref="A99:B99"/>
    <mergeCell ref="AK164:AL164"/>
    <mergeCell ref="AU65:AV65"/>
    <mergeCell ref="BF30:BH30"/>
    <mergeCell ref="Y135:AD135"/>
    <mergeCell ref="AK35:AL35"/>
    <mergeCell ref="A101:B101"/>
    <mergeCell ref="AU154:AV154"/>
    <mergeCell ref="M192:Q192"/>
    <mergeCell ref="G173:I173"/>
    <mergeCell ref="AP108:AQ108"/>
    <mergeCell ref="AK34:AL34"/>
    <mergeCell ref="AW129:AX129"/>
    <mergeCell ref="AW123:AX123"/>
    <mergeCell ref="AE137:AF137"/>
    <mergeCell ref="AU25:AV25"/>
    <mergeCell ref="AM101:AO101"/>
    <mergeCell ref="BD119:BE119"/>
    <mergeCell ref="C41:F41"/>
    <mergeCell ref="AU156:AV156"/>
    <mergeCell ref="J29:L29"/>
    <mergeCell ref="BF31:BH31"/>
    <mergeCell ref="AR199:AT199"/>
    <mergeCell ref="AM100:AO100"/>
    <mergeCell ref="AW131:AX131"/>
    <mergeCell ref="AI3:AJ3"/>
    <mergeCell ref="BD112:BE112"/>
    <mergeCell ref="AE139:AF139"/>
    <mergeCell ref="AE166:AF166"/>
    <mergeCell ref="AY187:AZ187"/>
    <mergeCell ref="R5:X6"/>
    <mergeCell ref="C43:F43"/>
    <mergeCell ref="AK190:AL190"/>
    <mergeCell ref="BD104:BE104"/>
    <mergeCell ref="AI117:AJ117"/>
    <mergeCell ref="G170:I170"/>
    <mergeCell ref="R173:X173"/>
    <mergeCell ref="AM102:AO102"/>
    <mergeCell ref="BF56:BH56"/>
    <mergeCell ref="AK67:AL67"/>
    <mergeCell ref="C36:F36"/>
    <mergeCell ref="BD114:BE114"/>
    <mergeCell ref="AK61:AL61"/>
    <mergeCell ref="AE168:AF168"/>
    <mergeCell ref="BI179:BK179"/>
    <mergeCell ref="AY189:AZ189"/>
    <mergeCell ref="J24:L24"/>
    <mergeCell ref="G172:I172"/>
    <mergeCell ref="G199:I199"/>
    <mergeCell ref="AW126:AX126"/>
    <mergeCell ref="BA130:BC130"/>
    <mergeCell ref="BD105:BE105"/>
    <mergeCell ref="C67:F67"/>
    <mergeCell ref="J26:L26"/>
    <mergeCell ref="M123:Q123"/>
    <mergeCell ref="AU78:AV78"/>
    <mergeCell ref="BF171:BH171"/>
    <mergeCell ref="AE192:AF192"/>
    <mergeCell ref="C69:F69"/>
    <mergeCell ref="C96:F96"/>
    <mergeCell ref="BD130:BE130"/>
    <mergeCell ref="BA125:BC125"/>
    <mergeCell ref="AM31:AO31"/>
    <mergeCell ref="AU80:AV80"/>
    <mergeCell ref="AW142:AX142"/>
    <mergeCell ref="R191:X191"/>
    <mergeCell ref="AE194:AF194"/>
    <mergeCell ref="C98:F98"/>
    <mergeCell ref="BD132:BE132"/>
    <mergeCell ref="AY58:AZ58"/>
    <mergeCell ref="Y179:AD179"/>
    <mergeCell ref="A26:B26"/>
    <mergeCell ref="G41:I41"/>
    <mergeCell ref="J42:L42"/>
    <mergeCell ref="AI16:AJ16"/>
    <mergeCell ref="AM32:AO32"/>
    <mergeCell ref="AM26:AO26"/>
    <mergeCell ref="BI109:BK109"/>
    <mergeCell ref="BA183:BC183"/>
    <mergeCell ref="G43:I43"/>
    <mergeCell ref="J44:L44"/>
    <mergeCell ref="BF100:BH100"/>
    <mergeCell ref="AU104:AV104"/>
    <mergeCell ref="AI43:AJ43"/>
    <mergeCell ref="AI18:AJ18"/>
    <mergeCell ref="AK105:AL105"/>
    <mergeCell ref="A171:B171"/>
    <mergeCell ref="A165:B165"/>
    <mergeCell ref="P3:T3"/>
    <mergeCell ref="AP179:AQ179"/>
    <mergeCell ref="BI111:BK111"/>
    <mergeCell ref="J37:L37"/>
    <mergeCell ref="M134:Q134"/>
    <mergeCell ref="BA185:BC185"/>
    <mergeCell ref="AU106:AV106"/>
    <mergeCell ref="AP32:AQ32"/>
    <mergeCell ref="AK107:AL107"/>
    <mergeCell ref="AM171:AO171"/>
    <mergeCell ref="A173:B173"/>
    <mergeCell ref="BA178:BC178"/>
    <mergeCell ref="A77:B77"/>
    <mergeCell ref="Y21:AD21"/>
    <mergeCell ref="BD31:BE31"/>
    <mergeCell ref="BF95:BH95"/>
    <mergeCell ref="A166:B166"/>
    <mergeCell ref="AW195:AX195"/>
    <mergeCell ref="AW170:AX170"/>
    <mergeCell ref="R62:X62"/>
    <mergeCell ref="C82:F82"/>
    <mergeCell ref="AM52:AO52"/>
    <mergeCell ref="J95:L95"/>
    <mergeCell ref="BF97:BH97"/>
    <mergeCell ref="BD62:BE62"/>
    <mergeCell ref="AK102:AL102"/>
    <mergeCell ref="AM166:AO166"/>
    <mergeCell ref="A168:B168"/>
    <mergeCell ref="AW197:AX197"/>
    <mergeCell ref="BD176:BE176"/>
    <mergeCell ref="AG6:AH6"/>
    <mergeCell ref="AM174:AO174"/>
    <mergeCell ref="AQ3:AR3"/>
    <mergeCell ref="J124:L124"/>
    <mergeCell ref="BD64:BE64"/>
    <mergeCell ref="BD186:BE186"/>
    <mergeCell ref="AK133:AL133"/>
    <mergeCell ref="G113:I113"/>
    <mergeCell ref="J96:L96"/>
    <mergeCell ref="BI164:BK164"/>
    <mergeCell ref="AP50:AQ50"/>
    <mergeCell ref="J90:L90"/>
    <mergeCell ref="BA20:BC20"/>
    <mergeCell ref="BD57:BE57"/>
    <mergeCell ref="BF121:BH121"/>
    <mergeCell ref="BA196:BC196"/>
    <mergeCell ref="AK135:AL135"/>
    <mergeCell ref="BI193:BK193"/>
    <mergeCell ref="BF129:BH129"/>
    <mergeCell ref="AI72:AJ72"/>
    <mergeCell ref="BF123:BH123"/>
    <mergeCell ref="BA198:BC198"/>
    <mergeCell ref="AK128:AL128"/>
    <mergeCell ref="AU150:AV150"/>
    <mergeCell ref="AP45:AQ45"/>
    <mergeCell ref="AM42:AO42"/>
    <mergeCell ref="A96:B96"/>
    <mergeCell ref="Y103:AD103"/>
    <mergeCell ref="BA51:BC51"/>
    <mergeCell ref="AE108:AF108"/>
    <mergeCell ref="C12:F12"/>
    <mergeCell ref="AU152:AV152"/>
    <mergeCell ref="AG24:AH24"/>
    <mergeCell ref="M190:Q190"/>
    <mergeCell ref="AR170:AT170"/>
    <mergeCell ref="AM96:AO96"/>
    <mergeCell ref="AM71:AO71"/>
    <mergeCell ref="J152:L152"/>
    <mergeCell ref="AG26:AH26"/>
    <mergeCell ref="BA38:BC38"/>
    <mergeCell ref="BD75:BE75"/>
    <mergeCell ref="AI88:AJ88"/>
    <mergeCell ref="AI82:AJ82"/>
    <mergeCell ref="AU181:AV181"/>
    <mergeCell ref="AR172:AT172"/>
    <mergeCell ref="AM98:AO98"/>
    <mergeCell ref="BD110:BE110"/>
    <mergeCell ref="BI175:BK175"/>
    <mergeCell ref="C7:F7"/>
    <mergeCell ref="AK57:AL57"/>
    <mergeCell ref="A123:B123"/>
    <mergeCell ref="AU176:AV176"/>
    <mergeCell ref="J20:L20"/>
    <mergeCell ref="AI90:AJ90"/>
    <mergeCell ref="BD199:BE199"/>
    <mergeCell ref="AK146:AL146"/>
    <mergeCell ref="BI183:BK183"/>
    <mergeCell ref="BI177:BK177"/>
    <mergeCell ref="BA33:BC33"/>
    <mergeCell ref="M60:Q60"/>
    <mergeCell ref="BF134:BH134"/>
    <mergeCell ref="AU178:AV178"/>
    <mergeCell ref="J22:L22"/>
    <mergeCell ref="A108:B108"/>
    <mergeCell ref="G197:I197"/>
    <mergeCell ref="AK58:AL58"/>
    <mergeCell ref="A118:B118"/>
    <mergeCell ref="AR12:AT12"/>
    <mergeCell ref="AU49:AV49"/>
    <mergeCell ref="BF167:BH167"/>
    <mergeCell ref="AE188:AF188"/>
    <mergeCell ref="J134:L134"/>
    <mergeCell ref="J51:L51"/>
    <mergeCell ref="BF55:BH55"/>
    <mergeCell ref="BI178:BK178"/>
    <mergeCell ref="AK60:AL60"/>
    <mergeCell ref="AM124:AO124"/>
    <mergeCell ref="AG166:AH166"/>
    <mergeCell ref="BF169:BH169"/>
    <mergeCell ref="AE190:AF190"/>
    <mergeCell ref="AR41:AT41"/>
    <mergeCell ref="Y116:AD116"/>
    <mergeCell ref="AY2:AZ2"/>
    <mergeCell ref="BD128:BE128"/>
    <mergeCell ref="AY29:AZ29"/>
    <mergeCell ref="C25:F25"/>
    <mergeCell ref="BA123:BC123"/>
    <mergeCell ref="AG37:AH37"/>
    <mergeCell ref="AI141:AJ141"/>
    <mergeCell ref="AM126:AO126"/>
    <mergeCell ref="AR7:AT7"/>
    <mergeCell ref="BF40:BH40"/>
    <mergeCell ref="C183:F183"/>
    <mergeCell ref="AM109:AO109"/>
    <mergeCell ref="AR43:AT43"/>
    <mergeCell ref="AI12:AJ12"/>
    <mergeCell ref="A134:B134"/>
    <mergeCell ref="AI143:AJ143"/>
    <mergeCell ref="AY31:AZ31"/>
    <mergeCell ref="G39:I39"/>
    <mergeCell ref="BD129:BE129"/>
    <mergeCell ref="AI14:AJ14"/>
    <mergeCell ref="M50:Q50"/>
    <mergeCell ref="AI136:AJ136"/>
    <mergeCell ref="AK70:AL70"/>
    <mergeCell ref="J77:L77"/>
    <mergeCell ref="BF37:BH37"/>
    <mergeCell ref="AI13:AJ13"/>
    <mergeCell ref="AK42:AL42"/>
    <mergeCell ref="BF195:BH195"/>
    <mergeCell ref="BI196:BK196"/>
    <mergeCell ref="Y172:AD172"/>
    <mergeCell ref="AK200:AL200"/>
    <mergeCell ref="P1:T1"/>
    <mergeCell ref="AE32:AF32"/>
    <mergeCell ref="AU191:AV191"/>
    <mergeCell ref="J35:L35"/>
    <mergeCell ref="Y17:AD17"/>
    <mergeCell ref="BF66:BH66"/>
    <mergeCell ref="A162:B162"/>
    <mergeCell ref="AK71:AL71"/>
    <mergeCell ref="BF197:BH197"/>
    <mergeCell ref="AR25:AT25"/>
    <mergeCell ref="R58:X58"/>
    <mergeCell ref="C78:F78"/>
    <mergeCell ref="AG96:AH96"/>
    <mergeCell ref="Y46:AD46"/>
    <mergeCell ref="G65:I65"/>
    <mergeCell ref="J66:L66"/>
    <mergeCell ref="BF68:BH68"/>
    <mergeCell ref="A164:B164"/>
    <mergeCell ref="AK73:AL73"/>
    <mergeCell ref="AM137:AO137"/>
    <mergeCell ref="AW168:AX168"/>
    <mergeCell ref="R60:X60"/>
    <mergeCell ref="Y12:AD12"/>
    <mergeCell ref="C107:F107"/>
    <mergeCell ref="AI154:AJ154"/>
    <mergeCell ref="Y48:AD48"/>
    <mergeCell ref="AM164:AO164"/>
    <mergeCell ref="AM139:AO139"/>
    <mergeCell ref="G50:I50"/>
    <mergeCell ref="C79:F79"/>
    <mergeCell ref="A195:B195"/>
    <mergeCell ref="AG91:AH91"/>
    <mergeCell ref="C73:F73"/>
    <mergeCell ref="M105:Q105"/>
    <mergeCell ref="AI25:AJ25"/>
    <mergeCell ref="Y41:AD41"/>
    <mergeCell ref="J61:L61"/>
    <mergeCell ref="AI156:AJ156"/>
    <mergeCell ref="J97:L97"/>
    <mergeCell ref="A188:B188"/>
    <mergeCell ref="G52:I52"/>
    <mergeCell ref="AM51:AO51"/>
    <mergeCell ref="AG93:AH93"/>
    <mergeCell ref="AU113:AV113"/>
    <mergeCell ref="BD142:BE142"/>
    <mergeCell ref="AE60:AF60"/>
    <mergeCell ref="AI155:AJ155"/>
    <mergeCell ref="M101:Q101"/>
    <mergeCell ref="Y43:AD43"/>
    <mergeCell ref="BF119:BH119"/>
    <mergeCell ref="A68:B68"/>
    <mergeCell ref="AK124:AL124"/>
    <mergeCell ref="A190:B190"/>
    <mergeCell ref="AU121:AV121"/>
    <mergeCell ref="AU115:AV115"/>
    <mergeCell ref="AP41:AQ41"/>
    <mergeCell ref="R86:X86"/>
    <mergeCell ref="AI151:AJ151"/>
    <mergeCell ref="R42:X42"/>
    <mergeCell ref="AE45:AF45"/>
    <mergeCell ref="AI180:AJ180"/>
    <mergeCell ref="Y74:AD74"/>
    <mergeCell ref="AK126:AL126"/>
    <mergeCell ref="AG20:AH20"/>
    <mergeCell ref="AP43:AQ43"/>
    <mergeCell ref="AW179:AX179"/>
    <mergeCell ref="AW39:AX39"/>
    <mergeCell ref="C135:F135"/>
    <mergeCell ref="AM67:AO67"/>
    <mergeCell ref="AY95:AZ95"/>
    <mergeCell ref="AG109:AH109"/>
    <mergeCell ref="AM61:AO61"/>
    <mergeCell ref="J148:L148"/>
    <mergeCell ref="Y59:AD59"/>
    <mergeCell ref="G78:I78"/>
    <mergeCell ref="AG22:AH22"/>
    <mergeCell ref="AI84:AJ84"/>
    <mergeCell ref="AE46:AF46"/>
    <mergeCell ref="BF122:BH122"/>
    <mergeCell ref="AM69:AO69"/>
    <mergeCell ref="AY97:AZ97"/>
    <mergeCell ref="Y25:AD25"/>
    <mergeCell ref="G80:I80"/>
    <mergeCell ref="AI86:AJ86"/>
    <mergeCell ref="BD195:BE195"/>
    <mergeCell ref="AM35:AO35"/>
    <mergeCell ref="AI80:AJ80"/>
    <mergeCell ref="C92:F92"/>
    <mergeCell ref="AK142:AL142"/>
    <mergeCell ref="AM193:AO193"/>
    <mergeCell ref="J105:L105"/>
    <mergeCell ref="J143:L143"/>
    <mergeCell ref="BA29:BC29"/>
    <mergeCell ref="AI79:AJ79"/>
    <mergeCell ref="M31:Q31"/>
    <mergeCell ref="AU174:AV174"/>
    <mergeCell ref="BD197:BE197"/>
    <mergeCell ref="AP69:AQ69"/>
    <mergeCell ref="AK144:AL144"/>
    <mergeCell ref="BF138:BH138"/>
    <mergeCell ref="BD11:BE11"/>
    <mergeCell ref="BA31:BC31"/>
    <mergeCell ref="BD68:BE68"/>
    <mergeCell ref="AI81:AJ81"/>
    <mergeCell ref="BF132:BH132"/>
    <mergeCell ref="AG162:AH162"/>
    <mergeCell ref="R99:X99"/>
    <mergeCell ref="AW50:AX50"/>
    <mergeCell ref="C146:F146"/>
    <mergeCell ref="M26:Q26"/>
    <mergeCell ref="Y112:AD112"/>
    <mergeCell ref="AK139:AL139"/>
    <mergeCell ref="AG33:AH33"/>
    <mergeCell ref="AM122:AO122"/>
    <mergeCell ref="G8:I8"/>
    <mergeCell ref="R101:X101"/>
    <mergeCell ref="AR39:AT39"/>
    <mergeCell ref="AR14:AT14"/>
    <mergeCell ref="AG43:AH43"/>
    <mergeCell ref="Y114:AD114"/>
    <mergeCell ref="J161:L161"/>
    <mergeCell ref="BI17:BK17"/>
    <mergeCell ref="J167:L167"/>
    <mergeCell ref="AY27:AZ27"/>
    <mergeCell ref="BA91:BC91"/>
    <mergeCell ref="AG35:AH35"/>
    <mergeCell ref="M171:Q171"/>
    <mergeCell ref="C181:F181"/>
    <mergeCell ref="G10:I10"/>
    <mergeCell ref="AP87:AQ87"/>
    <mergeCell ref="BA57:BC57"/>
    <mergeCell ref="AG34:AH34"/>
    <mergeCell ref="BI19:BK19"/>
    <mergeCell ref="AK172:AL172"/>
    <mergeCell ref="AI99:AJ99"/>
    <mergeCell ref="M173:Q173"/>
    <mergeCell ref="C174:F174"/>
    <mergeCell ref="J162:L162"/>
    <mergeCell ref="BF160:BH160"/>
    <mergeCell ref="AY22:AZ22"/>
    <mergeCell ref="C18:F18"/>
    <mergeCell ref="BA86:BC86"/>
    <mergeCell ref="AE3:AF3"/>
    <mergeCell ref="AK165:AL165"/>
    <mergeCell ref="AU187:AV187"/>
    <mergeCell ref="AG59:AH59"/>
    <mergeCell ref="AP88:AQ88"/>
    <mergeCell ref="AP82:AQ82"/>
    <mergeCell ref="AE117:AF117"/>
    <mergeCell ref="J164:L164"/>
    <mergeCell ref="A133:B133"/>
    <mergeCell ref="BF193:BH193"/>
    <mergeCell ref="AR65:AT65"/>
    <mergeCell ref="Y140:AD140"/>
    <mergeCell ref="R29:X29"/>
    <mergeCell ref="AI94:AJ94"/>
    <mergeCell ref="AU189:AV189"/>
    <mergeCell ref="AY9:AZ9"/>
    <mergeCell ref="AG61:AH61"/>
    <mergeCell ref="AY167:AZ167"/>
    <mergeCell ref="AM133:AO133"/>
    <mergeCell ref="AM108:AO108"/>
    <mergeCell ref="G150:I150"/>
    <mergeCell ref="AR50:AT50"/>
    <mergeCell ref="J189:L189"/>
    <mergeCell ref="R31:X31"/>
    <mergeCell ref="AY11:AZ11"/>
    <mergeCell ref="BA75:BC75"/>
    <mergeCell ref="AI125:AJ125"/>
    <mergeCell ref="AR60:AT60"/>
    <mergeCell ref="AY169:AZ169"/>
    <mergeCell ref="AM135:AO135"/>
    <mergeCell ref="G21:I21"/>
    <mergeCell ref="R24:X24"/>
    <mergeCell ref="C44:F44"/>
    <mergeCell ref="AG62:AH62"/>
    <mergeCell ref="J180:L180"/>
    <mergeCell ref="AP17:AQ17"/>
    <mergeCell ref="J57:L57"/>
    <mergeCell ref="C80:F80"/>
    <mergeCell ref="AY40:AZ40"/>
    <mergeCell ref="BA104:BC104"/>
    <mergeCell ref="AI127:AJ127"/>
    <mergeCell ref="AY162:AZ162"/>
    <mergeCell ref="G23:I23"/>
    <mergeCell ref="J146:L146"/>
    <mergeCell ref="R26:X26"/>
    <mergeCell ref="M103:Q103"/>
    <mergeCell ref="BA70:BC70"/>
    <mergeCell ref="AI120:AJ120"/>
    <mergeCell ref="Y39:AD39"/>
    <mergeCell ref="AP141:AQ141"/>
    <mergeCell ref="BA106:BC106"/>
    <mergeCell ref="M96:Q96"/>
    <mergeCell ref="BF179:BH179"/>
    <mergeCell ref="AP12:AQ12"/>
    <mergeCell ref="BA105:BC105"/>
    <mergeCell ref="AI147:AJ147"/>
    <mergeCell ref="AW8:AX8"/>
    <mergeCell ref="BA99:BC99"/>
    <mergeCell ref="AY37:AZ37"/>
    <mergeCell ref="AW2:AX2"/>
    <mergeCell ref="AE16:AF16"/>
    <mergeCell ref="AP143:AQ143"/>
    <mergeCell ref="G18:I18"/>
    <mergeCell ref="R171:X171"/>
    <mergeCell ref="M98:Q98"/>
    <mergeCell ref="AR84:AT84"/>
    <mergeCell ref="A146:B146"/>
    <mergeCell ref="Y159:AD159"/>
    <mergeCell ref="AP14:AQ14"/>
    <mergeCell ref="AR78:AT78"/>
    <mergeCell ref="Y153:AD153"/>
    <mergeCell ref="C131:F131"/>
    <mergeCell ref="BD165:BE165"/>
    <mergeCell ref="AE18:AF18"/>
    <mergeCell ref="AY66:AZ66"/>
    <mergeCell ref="AI178:AJ178"/>
    <mergeCell ref="AK25:AL25"/>
    <mergeCell ref="AM146:AO146"/>
    <mergeCell ref="AR80:AT80"/>
    <mergeCell ref="AI49:AJ49"/>
    <mergeCell ref="Y65:AD65"/>
    <mergeCell ref="G163:I163"/>
    <mergeCell ref="AY93:AZ93"/>
    <mergeCell ref="R44:X44"/>
    <mergeCell ref="AY68:AZ68"/>
    <mergeCell ref="G76:I76"/>
    <mergeCell ref="BD166:BE166"/>
    <mergeCell ref="C126:F126"/>
    <mergeCell ref="BI91:BK91"/>
    <mergeCell ref="AI173:AJ173"/>
    <mergeCell ref="G165:I165"/>
    <mergeCell ref="Y23:AD23"/>
    <mergeCell ref="BD37:BE37"/>
    <mergeCell ref="BI84:BK84"/>
    <mergeCell ref="AK115:AL115"/>
    <mergeCell ref="C117:F117"/>
    <mergeCell ref="M116:Q116"/>
    <mergeCell ref="AE69:AF69"/>
    <mergeCell ref="G77:I77"/>
    <mergeCell ref="AP154:AQ154"/>
    <mergeCell ref="BI86:BK86"/>
    <mergeCell ref="AK108:AL108"/>
    <mergeCell ref="A199:B199"/>
    <mergeCell ref="AM3:AN3"/>
    <mergeCell ref="AP25:AQ25"/>
    <mergeCell ref="R95:X95"/>
    <mergeCell ref="AW46:AX46"/>
    <mergeCell ref="AW21:AX21"/>
    <mergeCell ref="R70:X70"/>
    <mergeCell ref="C115:F115"/>
    <mergeCell ref="AG133:AH133"/>
    <mergeCell ref="AR8:AT8"/>
    <mergeCell ref="Y83:AD83"/>
    <mergeCell ref="AP156:AQ156"/>
    <mergeCell ref="R97:X97"/>
    <mergeCell ref="AW48:AX48"/>
    <mergeCell ref="C150:F150"/>
    <mergeCell ref="C144:F144"/>
    <mergeCell ref="BD184:BE184"/>
    <mergeCell ref="AY104:AZ104"/>
    <mergeCell ref="AR10:AT10"/>
    <mergeCell ref="Y85:AD85"/>
    <mergeCell ref="AI191:AJ191"/>
    <mergeCell ref="AR63:AT63"/>
    <mergeCell ref="J132:L132"/>
    <mergeCell ref="AE72:AF72"/>
    <mergeCell ref="G87:I87"/>
    <mergeCell ref="R96:X96"/>
    <mergeCell ref="AG128:AH128"/>
    <mergeCell ref="M142:Q142"/>
    <mergeCell ref="AY112:AZ112"/>
    <mergeCell ref="Y78:AD78"/>
    <mergeCell ref="AG164:AH164"/>
    <mergeCell ref="BA176:BC176"/>
    <mergeCell ref="BI15:BK15"/>
    <mergeCell ref="G95:I95"/>
    <mergeCell ref="G89:I89"/>
    <mergeCell ref="R98:X98"/>
    <mergeCell ref="AY122:AZ122"/>
    <mergeCell ref="C145:F145"/>
    <mergeCell ref="A41:B41"/>
    <mergeCell ref="M144:Q144"/>
    <mergeCell ref="M169:Q169"/>
    <mergeCell ref="BD39:BE39"/>
    <mergeCell ref="BI104:BK104"/>
    <mergeCell ref="BD179:BE179"/>
    <mergeCell ref="Y80:AD80"/>
    <mergeCell ref="AI192:AJ192"/>
    <mergeCell ref="G88:I88"/>
    <mergeCell ref="AK161:AL161"/>
    <mergeCell ref="AP84:AQ84"/>
    <mergeCell ref="AP78:AQ78"/>
    <mergeCell ref="BA171:BC171"/>
    <mergeCell ref="R123:X123"/>
    <mergeCell ref="AW74:AX74"/>
    <mergeCell ref="AE88:AF88"/>
    <mergeCell ref="M12:Q12"/>
    <mergeCell ref="AE82:AF82"/>
    <mergeCell ref="G90:I90"/>
    <mergeCell ref="M164:Q164"/>
    <mergeCell ref="AP86:AQ86"/>
    <mergeCell ref="AR150:AT150"/>
    <mergeCell ref="AP80:AQ80"/>
    <mergeCell ref="BE2:BF2"/>
    <mergeCell ref="AW76:AX76"/>
    <mergeCell ref="AY138:AZ138"/>
    <mergeCell ref="C134:F134"/>
    <mergeCell ref="R108:X108"/>
    <mergeCell ref="M41:Q41"/>
    <mergeCell ref="AY132:AZ132"/>
    <mergeCell ref="AG146:AH146"/>
    <mergeCell ref="G115:I115"/>
    <mergeCell ref="AR152:AT152"/>
    <mergeCell ref="AE83:AF83"/>
    <mergeCell ref="BD21:BE21"/>
    <mergeCell ref="C163:F163"/>
    <mergeCell ref="R20:X20"/>
    <mergeCell ref="AG58:AH58"/>
    <mergeCell ref="AR23:AT23"/>
    <mergeCell ref="AR145:AT145"/>
    <mergeCell ref="M66:Q66"/>
    <mergeCell ref="AI123:AJ123"/>
    <mergeCell ref="M197:Q197"/>
    <mergeCell ref="R109:X109"/>
    <mergeCell ref="BI157:BK157"/>
    <mergeCell ref="J186:L186"/>
    <mergeCell ref="K3:O3"/>
    <mergeCell ref="G141:I141"/>
    <mergeCell ref="R22:X22"/>
    <mergeCell ref="AG60:AH60"/>
    <mergeCell ref="AR147:AT147"/>
    <mergeCell ref="BI34:BK34"/>
    <mergeCell ref="M68:Q68"/>
    <mergeCell ref="AI116:AJ116"/>
    <mergeCell ref="Y10:AD10"/>
    <mergeCell ref="BI28:BK28"/>
    <mergeCell ref="AP106:AQ106"/>
    <mergeCell ref="M188:Q188"/>
    <mergeCell ref="C158:F158"/>
    <mergeCell ref="AU29:AV29"/>
    <mergeCell ref="M67:Q67"/>
    <mergeCell ref="BF175:BH175"/>
    <mergeCell ref="AI118:AJ118"/>
    <mergeCell ref="AK180:AL180"/>
    <mergeCell ref="BI30:BK30"/>
    <mergeCell ref="AE12:AF12"/>
    <mergeCell ref="AP114:AQ114"/>
    <mergeCell ref="G14:I14"/>
    <mergeCell ref="AU31:AV31"/>
    <mergeCell ref="R167:X167"/>
    <mergeCell ref="M69:Q69"/>
    <mergeCell ref="AW87:AX87"/>
    <mergeCell ref="BI29:BK29"/>
    <mergeCell ref="Y155:AD155"/>
    <mergeCell ref="BA103:BC103"/>
    <mergeCell ref="J173:L173"/>
    <mergeCell ref="AW6:AX6"/>
    <mergeCell ref="BA97:BC97"/>
    <mergeCell ref="AE14:AF14"/>
    <mergeCell ref="AY62:AZ62"/>
    <mergeCell ref="AG70:AH70"/>
    <mergeCell ref="AR163:AT163"/>
    <mergeCell ref="R169:X169"/>
    <mergeCell ref="C191:F191"/>
    <mergeCell ref="AK21:AL21"/>
    <mergeCell ref="AW89:AX89"/>
    <mergeCell ref="AY176:AZ176"/>
    <mergeCell ref="AR76:AT76"/>
    <mergeCell ref="AY28:AZ28"/>
    <mergeCell ref="Y151:AD151"/>
    <mergeCell ref="G159:I159"/>
    <mergeCell ref="BI54:BK54"/>
    <mergeCell ref="G134:I134"/>
    <mergeCell ref="AY64:AZ64"/>
    <mergeCell ref="R162:X162"/>
    <mergeCell ref="BI185:BK185"/>
    <mergeCell ref="AR165:AT165"/>
    <mergeCell ref="AI134:AJ134"/>
    <mergeCell ref="AY186:AZ186"/>
    <mergeCell ref="J198:L198"/>
    <mergeCell ref="BD103:BE103"/>
    <mergeCell ref="Y150:AD150"/>
    <mergeCell ref="AK50:AL50"/>
    <mergeCell ref="A116:B116"/>
    <mergeCell ref="AG71:AH71"/>
    <mergeCell ref="G161:I161"/>
    <mergeCell ref="BF17:BH17"/>
    <mergeCell ref="BI56:BK56"/>
    <mergeCell ref="R164:X164"/>
    <mergeCell ref="BI176:BK176"/>
    <mergeCell ref="AR77:AT77"/>
    <mergeCell ref="Y152:AD152"/>
    <mergeCell ref="J199:L199"/>
    <mergeCell ref="AK52:AL52"/>
    <mergeCell ref="BA129:BC129"/>
    <mergeCell ref="R35:X35"/>
    <mergeCell ref="BF19:BH19"/>
    <mergeCell ref="BF46:BH46"/>
    <mergeCell ref="AP150:AQ150"/>
    <mergeCell ref="AP125:AQ125"/>
    <mergeCell ref="M122:Q122"/>
    <mergeCell ref="AE154:AF154"/>
    <mergeCell ref="AU42:AV42"/>
    <mergeCell ref="BA131:BC131"/>
    <mergeCell ref="BF12:BH12"/>
    <mergeCell ref="G156:I156"/>
    <mergeCell ref="BA87:BC87"/>
    <mergeCell ref="BF48:BH48"/>
    <mergeCell ref="AW17:AX17"/>
    <mergeCell ref="R66:X66"/>
    <mergeCell ref="AU77:AV77"/>
    <mergeCell ref="AW11:AX11"/>
    <mergeCell ref="AE25:AF25"/>
    <mergeCell ref="AK53:AL53"/>
    <mergeCell ref="BD7:BE7"/>
    <mergeCell ref="AP152:AQ152"/>
    <mergeCell ref="R188:X188"/>
    <mergeCell ref="AE183:AF183"/>
    <mergeCell ref="AM170:AO170"/>
    <mergeCell ref="M107:Q107"/>
    <mergeCell ref="BF14:BH14"/>
    <mergeCell ref="AE35:AF35"/>
    <mergeCell ref="G187:I187"/>
    <mergeCell ref="AR87:AT87"/>
    <mergeCell ref="R68:X68"/>
    <mergeCell ref="AW19:AX19"/>
    <mergeCell ref="AW141:AX141"/>
    <mergeCell ref="R190:X190"/>
    <mergeCell ref="AE149:AF149"/>
    <mergeCell ref="AY75:AZ75"/>
    <mergeCell ref="C53:F53"/>
    <mergeCell ref="AK78:AL78"/>
    <mergeCell ref="AM172:AO172"/>
    <mergeCell ref="G180:I180"/>
    <mergeCell ref="AR95:AT95"/>
    <mergeCell ref="R61:X61"/>
    <mergeCell ref="AG124:AH124"/>
    <mergeCell ref="AR89:AT89"/>
    <mergeCell ref="M138:Q138"/>
    <mergeCell ref="Y170:AD170"/>
    <mergeCell ref="AW143:AX143"/>
    <mergeCell ref="AP176:AQ176"/>
    <mergeCell ref="Y49:AD49"/>
    <mergeCell ref="AE180:AF180"/>
    <mergeCell ref="Y163:AD163"/>
    <mergeCell ref="AG126:AH126"/>
    <mergeCell ref="BA113:BC113"/>
    <mergeCell ref="A12:B12"/>
    <mergeCell ref="AW14:AX14"/>
    <mergeCell ref="BI100:BK100"/>
    <mergeCell ref="M140:Q140"/>
    <mergeCell ref="C141:F141"/>
    <mergeCell ref="Y76:AD76"/>
    <mergeCell ref="J129:L129"/>
    <mergeCell ref="AP178:AQ178"/>
    <mergeCell ref="G84:I84"/>
    <mergeCell ref="AU95:AV95"/>
    <mergeCell ref="BI110:BK110"/>
    <mergeCell ref="AR90:AT90"/>
    <mergeCell ref="M133:Q133"/>
    <mergeCell ref="C143:F143"/>
    <mergeCell ref="AI190:AJ190"/>
    <mergeCell ref="A14:B14"/>
    <mergeCell ref="AP49:AQ49"/>
    <mergeCell ref="BI102:BK102"/>
    <mergeCell ref="BA142:BC142"/>
    <mergeCell ref="BA167:BC167"/>
    <mergeCell ref="G86:I86"/>
    <mergeCell ref="BA55:BC55"/>
    <mergeCell ref="AU97:AV97"/>
    <mergeCell ref="AW159:AX159"/>
    <mergeCell ref="M135:Q135"/>
    <mergeCell ref="AR121:AT121"/>
    <mergeCell ref="Y196:AD196"/>
    <mergeCell ref="AM14:AO14"/>
    <mergeCell ref="AR115:AT115"/>
    <mergeCell ref="A43:B43"/>
    <mergeCell ref="AW72:AX72"/>
    <mergeCell ref="BA144:BC144"/>
    <mergeCell ref="AU96:AV96"/>
    <mergeCell ref="BA169:BC169"/>
    <mergeCell ref="J59:L59"/>
    <mergeCell ref="AM13:AO13"/>
    <mergeCell ref="AW161:AX161"/>
    <mergeCell ref="AE79:AF79"/>
    <mergeCell ref="AM43:AO43"/>
    <mergeCell ref="AY136:AZ136"/>
    <mergeCell ref="AW154:AX154"/>
    <mergeCell ref="AR116:AT116"/>
    <mergeCell ref="R122:X122"/>
    <mergeCell ref="AE81:AF81"/>
    <mergeCell ref="R105:X105"/>
    <mergeCell ref="AY129:AZ129"/>
    <mergeCell ref="BI128:BK128"/>
    <mergeCell ref="AG181:AH181"/>
    <mergeCell ref="M193:Q193"/>
    <mergeCell ref="BD46:BE46"/>
    <mergeCell ref="AW156:AX156"/>
    <mergeCell ref="AR143:AT143"/>
    <mergeCell ref="BA37:BC37"/>
    <mergeCell ref="AR118:AT118"/>
    <mergeCell ref="G148:I148"/>
    <mergeCell ref="R107:X107"/>
    <mergeCell ref="AE110:AF110"/>
    <mergeCell ref="AK3:AL3"/>
    <mergeCell ref="AY131:AZ131"/>
    <mergeCell ref="AG139:AH139"/>
    <mergeCell ref="A25:B25"/>
    <mergeCell ref="M153:Q153"/>
    <mergeCell ref="K1:O1"/>
    <mergeCell ref="BF112:BH112"/>
    <mergeCell ref="G114:I114"/>
    <mergeCell ref="C154:F154"/>
    <mergeCell ref="AP191:AQ191"/>
    <mergeCell ref="BI123:BK123"/>
    <mergeCell ref="BA197:BC197"/>
    <mergeCell ref="C156:F156"/>
    <mergeCell ref="AU27:AV27"/>
    <mergeCell ref="AM25:AO25"/>
    <mergeCell ref="R138:X138"/>
    <mergeCell ref="AE141:AF141"/>
    <mergeCell ref="M65:Q65"/>
    <mergeCell ref="AW83:AX83"/>
    <mergeCell ref="AE135:AF135"/>
    <mergeCell ref="G143:I143"/>
    <mergeCell ref="AG170:AH170"/>
    <mergeCell ref="G99:I99"/>
    <mergeCell ref="Y120:AD120"/>
    <mergeCell ref="BA68:BC68"/>
    <mergeCell ref="AE107:AF107"/>
    <mergeCell ref="AM33:AO33"/>
    <mergeCell ref="AR134:AT134"/>
    <mergeCell ref="AG172:AH172"/>
    <mergeCell ref="AW85:AX85"/>
    <mergeCell ref="AE99:AF99"/>
    <mergeCell ref="BI27:BK27"/>
    <mergeCell ref="AG199:AH199"/>
    <mergeCell ref="AR169:AT169"/>
    <mergeCell ref="G130:I130"/>
    <mergeCell ref="AU22:AV22"/>
    <mergeCell ref="AW84:AX84"/>
    <mergeCell ref="R133:X133"/>
    <mergeCell ref="AE136:AF136"/>
    <mergeCell ref="AG165:AH165"/>
    <mergeCell ref="M179:Q179"/>
    <mergeCell ref="C180:F180"/>
    <mergeCell ref="BD74:BE74"/>
    <mergeCell ref="Y121:AD121"/>
    <mergeCell ref="AY149:AZ149"/>
    <mergeCell ref="A112:B112"/>
    <mergeCell ref="Y115:AD115"/>
    <mergeCell ref="BI52:BK52"/>
    <mergeCell ref="AM28:AO28"/>
    <mergeCell ref="G132:I132"/>
    <mergeCell ref="R135:X135"/>
    <mergeCell ref="C182:F182"/>
    <mergeCell ref="BD76:BE76"/>
    <mergeCell ref="C5:F6"/>
    <mergeCell ref="A114:B114"/>
    <mergeCell ref="AK23:AL23"/>
    <mergeCell ref="J195:L195"/>
    <mergeCell ref="G125:I125"/>
    <mergeCell ref="AU167:AV167"/>
    <mergeCell ref="C200:F200"/>
    <mergeCell ref="AP121:AQ121"/>
    <mergeCell ref="BI174:BK174"/>
    <mergeCell ref="AP115:AQ115"/>
    <mergeCell ref="A107:B107"/>
    <mergeCell ref="AY144:AZ144"/>
    <mergeCell ref="AW111:AX111"/>
    <mergeCell ref="AU38:AV38"/>
    <mergeCell ref="BI53:BK53"/>
    <mergeCell ref="M49:Q49"/>
    <mergeCell ref="AE125:AF125"/>
    <mergeCell ref="BF8:BH8"/>
    <mergeCell ref="G127:I127"/>
    <mergeCell ref="AG41:AH41"/>
    <mergeCell ref="AU169:AV169"/>
    <mergeCell ref="J197:L197"/>
    <mergeCell ref="BI167:BK167"/>
    <mergeCell ref="AU48:AV48"/>
    <mergeCell ref="AP123:AQ123"/>
    <mergeCell ref="J11:L11"/>
    <mergeCell ref="AR187:AT187"/>
    <mergeCell ref="AK43:AL43"/>
    <mergeCell ref="AK18:AL18"/>
    <mergeCell ref="AU40:AV40"/>
    <mergeCell ref="BI55:BK55"/>
    <mergeCell ref="AU162:AV162"/>
    <mergeCell ref="AY175:AZ175"/>
    <mergeCell ref="M78:Q78"/>
    <mergeCell ref="BD92:BE92"/>
    <mergeCell ref="R186:X186"/>
    <mergeCell ref="AW112:AX112"/>
    <mergeCell ref="AR189:AT189"/>
    <mergeCell ref="AK51:AL51"/>
    <mergeCell ref="AE120:AF120"/>
    <mergeCell ref="C24:F24"/>
    <mergeCell ref="R153:X153"/>
    <mergeCell ref="AE156:AF156"/>
    <mergeCell ref="BF39:BH39"/>
    <mergeCell ref="AR188:AT188"/>
    <mergeCell ref="AR182:AT182"/>
    <mergeCell ref="AI101:AJ101"/>
    <mergeCell ref="AK163:AL163"/>
    <mergeCell ref="R146:X146"/>
    <mergeCell ref="AY170:AZ170"/>
    <mergeCell ref="BI194:BK194"/>
    <mergeCell ref="AS2:AT2"/>
    <mergeCell ref="C26:F26"/>
    <mergeCell ref="AK76:AL76"/>
    <mergeCell ref="BD87:BE87"/>
    <mergeCell ref="AU195:AV195"/>
    <mergeCell ref="J39:L39"/>
    <mergeCell ref="BD6:BE6"/>
    <mergeCell ref="BI71:BK71"/>
    <mergeCell ref="Y47:AD47"/>
    <mergeCell ref="AY197:AZ197"/>
    <mergeCell ref="AY172:AZ172"/>
    <mergeCell ref="AU66:AV66"/>
    <mergeCell ref="Y161:AD161"/>
    <mergeCell ref="BD89:BE89"/>
    <mergeCell ref="BA138:BC138"/>
    <mergeCell ref="BF72:BH72"/>
    <mergeCell ref="BI195:BK195"/>
    <mergeCell ref="G5:I6"/>
    <mergeCell ref="BF28:BH28"/>
    <mergeCell ref="AK77:AL77"/>
    <mergeCell ref="AM141:AO141"/>
    <mergeCell ref="AP134:AQ134"/>
    <mergeCell ref="AU68:AV68"/>
    <mergeCell ref="AR58:AT58"/>
    <mergeCell ref="AW130:AX130"/>
    <mergeCell ref="BF65:BH65"/>
    <mergeCell ref="BI66:BK66"/>
    <mergeCell ref="BA140:BC140"/>
    <mergeCell ref="A39:B39"/>
    <mergeCell ref="BD145:BE145"/>
    <mergeCell ref="Y192:AD192"/>
    <mergeCell ref="BI197:BK197"/>
    <mergeCell ref="AG113:AH113"/>
    <mergeCell ref="AW157:AX157"/>
    <mergeCell ref="AI29:AJ29"/>
    <mergeCell ref="J65:L65"/>
    <mergeCell ref="AE50:AF50"/>
    <mergeCell ref="G196:I196"/>
    <mergeCell ref="R199:X199"/>
    <mergeCell ref="AR112:AT112"/>
    <mergeCell ref="BD18:BE18"/>
    <mergeCell ref="BD140:BE140"/>
    <mergeCell ref="Y187:AD187"/>
    <mergeCell ref="A153:B153"/>
    <mergeCell ref="AG108:AH108"/>
    <mergeCell ref="BF54:BH54"/>
    <mergeCell ref="BD17:BE17"/>
    <mergeCell ref="AW152:AX152"/>
    <mergeCell ref="AI24:AJ24"/>
    <mergeCell ref="AU119:AV119"/>
    <mergeCell ref="BD148:BE148"/>
    <mergeCell ref="AR114:AT114"/>
    <mergeCell ref="Y189:AD189"/>
    <mergeCell ref="AK89:AL89"/>
    <mergeCell ref="BI126:BK126"/>
    <mergeCell ref="G51:I51"/>
    <mergeCell ref="BF83:BH83"/>
    <mergeCell ref="AI26:AJ26"/>
    <mergeCell ref="AK88:AL88"/>
    <mergeCell ref="AW183:AX183"/>
    <mergeCell ref="BI119:BK119"/>
    <mergeCell ref="BA193:BC193"/>
    <mergeCell ref="Z2:AD2"/>
    <mergeCell ref="BF49:BH49"/>
    <mergeCell ref="BA168:BC168"/>
    <mergeCell ref="BF110:BH110"/>
    <mergeCell ref="BF85:BH85"/>
    <mergeCell ref="AW54:AX54"/>
    <mergeCell ref="AU114:AV114"/>
    <mergeCell ref="AW176:AX176"/>
    <mergeCell ref="AK90:AL90"/>
    <mergeCell ref="A181:B181"/>
    <mergeCell ref="AP189:AQ189"/>
    <mergeCell ref="C124:F124"/>
    <mergeCell ref="AR130:AT130"/>
    <mergeCell ref="AU122:AV122"/>
    <mergeCell ref="BA153:BC153"/>
    <mergeCell ref="A52:B52"/>
    <mergeCell ref="BD158:BE158"/>
    <mergeCell ref="AW56:AX56"/>
    <mergeCell ref="J112:L112"/>
    <mergeCell ref="AI171:AJ171"/>
    <mergeCell ref="AW178:AX178"/>
    <mergeCell ref="C90:F90"/>
    <mergeCell ref="AI42:AJ42"/>
    <mergeCell ref="AR132:AT132"/>
    <mergeCell ref="AM58:AO58"/>
    <mergeCell ref="J78:L78"/>
    <mergeCell ref="BD160:BE160"/>
    <mergeCell ref="AG161:AH161"/>
    <mergeCell ref="AG197:AH197"/>
    <mergeCell ref="A83:B83"/>
    <mergeCell ref="BD159:BE159"/>
    <mergeCell ref="AM24:AO24"/>
    <mergeCell ref="C119:F119"/>
    <mergeCell ref="AI44:AJ44"/>
    <mergeCell ref="AM60:AO60"/>
    <mergeCell ref="A49:B49"/>
    <mergeCell ref="M177:Q177"/>
    <mergeCell ref="BD72:BE72"/>
    <mergeCell ref="BI137:BK137"/>
    <mergeCell ref="BA2:BB2"/>
    <mergeCell ref="AK19:AL19"/>
    <mergeCell ref="AK141:AL141"/>
    <mergeCell ref="AU138:AV138"/>
    <mergeCell ref="AU132:AV132"/>
    <mergeCell ref="BD161:BE161"/>
    <mergeCell ref="AR127:AT127"/>
    <mergeCell ref="M170:Q170"/>
    <mergeCell ref="BA179:BC179"/>
    <mergeCell ref="AK12:AL12"/>
    <mergeCell ref="A78:B78"/>
    <mergeCell ref="BI139:BK139"/>
    <mergeCell ref="AU9:AV9"/>
    <mergeCell ref="AK143:AL143"/>
    <mergeCell ref="G123:I123"/>
    <mergeCell ref="AW196:AX196"/>
    <mergeCell ref="BF15:BH15"/>
    <mergeCell ref="M172:Q172"/>
    <mergeCell ref="AM84:AO84"/>
    <mergeCell ref="C108:F108"/>
    <mergeCell ref="AK14:AL14"/>
    <mergeCell ref="A80:B80"/>
    <mergeCell ref="AU133:AV133"/>
    <mergeCell ref="AE150:AF150"/>
    <mergeCell ref="AM50:AO50"/>
    <mergeCell ref="AW198:AX198"/>
    <mergeCell ref="AM86:AO86"/>
    <mergeCell ref="AE116:AF116"/>
    <mergeCell ref="AM80:AO80"/>
    <mergeCell ref="C20:F20"/>
    <mergeCell ref="AU135:AV135"/>
    <mergeCell ref="AE152:AF152"/>
    <mergeCell ref="AY173:AZ173"/>
    <mergeCell ref="M46:Q46"/>
    <mergeCell ref="AW191:AX191"/>
    <mergeCell ref="J8:L8"/>
    <mergeCell ref="BF10:BH10"/>
    <mergeCell ref="C109:F109"/>
    <mergeCell ref="AM79:AO79"/>
    <mergeCell ref="AW110:AX110"/>
    <mergeCell ref="AK159:AL159"/>
    <mergeCell ref="AE118:AF118"/>
    <mergeCell ref="AY166:AZ166"/>
    <mergeCell ref="AG180:AH180"/>
    <mergeCell ref="BI165:BK165"/>
    <mergeCell ref="C22:F22"/>
    <mergeCell ref="BD83:BE83"/>
    <mergeCell ref="AI96:AJ96"/>
    <mergeCell ref="Y130:AD130"/>
    <mergeCell ref="J10:L10"/>
    <mergeCell ref="AM81:AO81"/>
    <mergeCell ref="AY168:AZ168"/>
    <mergeCell ref="AE147:AF147"/>
    <mergeCell ref="M14:Q14"/>
    <mergeCell ref="AU62:AV62"/>
    <mergeCell ref="BF155:BH155"/>
    <mergeCell ref="C51:F51"/>
    <mergeCell ref="BD85:BE85"/>
    <mergeCell ref="AI98:AJ98"/>
    <mergeCell ref="BF149:BH149"/>
    <mergeCell ref="AK154:AL154"/>
    <mergeCell ref="BI160:BK160"/>
    <mergeCell ref="AU64:AV64"/>
    <mergeCell ref="BF157:BH157"/>
    <mergeCell ref="BF151:BH151"/>
    <mergeCell ref="AW120:AX120"/>
    <mergeCell ref="AK156:AL156"/>
    <mergeCell ref="C38:F38"/>
    <mergeCell ref="AG50:AH50"/>
    <mergeCell ref="BF150:BH150"/>
    <mergeCell ref="AM70:AO70"/>
    <mergeCell ref="A124:B124"/>
    <mergeCell ref="AY8:AZ8"/>
    <mergeCell ref="BD109:BE109"/>
    <mergeCell ref="AY184:AZ184"/>
    <mergeCell ref="AU146:AV146"/>
    <mergeCell ref="AM10:AO10"/>
    <mergeCell ref="AM63:AO63"/>
    <mergeCell ref="BF152:BH152"/>
    <mergeCell ref="AW121:AX121"/>
    <mergeCell ref="R170:X170"/>
    <mergeCell ref="AE173:AF173"/>
    <mergeCell ref="AM99:AO99"/>
    <mergeCell ref="BD111:BE111"/>
    <mergeCell ref="C33:F33"/>
    <mergeCell ref="A149:B149"/>
    <mergeCell ref="AE165:AF165"/>
    <mergeCell ref="J21:L21"/>
    <mergeCell ref="R172:X172"/>
    <mergeCell ref="AR51:AT51"/>
    <mergeCell ref="AI20:AJ20"/>
    <mergeCell ref="M25:Q25"/>
    <mergeCell ref="AY39:AZ39"/>
    <mergeCell ref="C35:F35"/>
    <mergeCell ref="AG53:AH53"/>
    <mergeCell ref="A151:B151"/>
    <mergeCell ref="J23:L23"/>
    <mergeCell ref="BF79:BH79"/>
    <mergeCell ref="G198:I198"/>
    <mergeCell ref="AI22:AJ22"/>
    <mergeCell ref="AK84:AL84"/>
    <mergeCell ref="AK59:AL59"/>
    <mergeCell ref="A150:B150"/>
    <mergeCell ref="A144:B144"/>
    <mergeCell ref="AU75:AV75"/>
    <mergeCell ref="AG78:AH78"/>
    <mergeCell ref="BF81:BH81"/>
    <mergeCell ref="AP160:AQ160"/>
    <mergeCell ref="AK86:AL86"/>
    <mergeCell ref="AM150:AO150"/>
    <mergeCell ref="A152:B152"/>
    <mergeCell ref="R12:X12"/>
    <mergeCell ref="AK80:AL80"/>
    <mergeCell ref="C59:F59"/>
    <mergeCell ref="AE191:AF191"/>
    <mergeCell ref="AU199:AV199"/>
    <mergeCell ref="M115:Q115"/>
    <mergeCell ref="AW174:AX174"/>
    <mergeCell ref="Y30:AD30"/>
    <mergeCell ref="AM152:AO152"/>
    <mergeCell ref="G38:I38"/>
    <mergeCell ref="R41:X41"/>
    <mergeCell ref="C61:F61"/>
    <mergeCell ref="AY21:AZ21"/>
    <mergeCell ref="C122:F122"/>
    <mergeCell ref="J74:L74"/>
    <mergeCell ref="BF76:BH76"/>
    <mergeCell ref="BD155:BE155"/>
    <mergeCell ref="AY23:AZ23"/>
    <mergeCell ref="J103:L103"/>
    <mergeCell ref="BA6:BC6"/>
    <mergeCell ref="BI108:BK108"/>
    <mergeCell ref="AM147:AO147"/>
    <mergeCell ref="A172:B172"/>
    <mergeCell ref="BD157:BE157"/>
    <mergeCell ref="AP29:AQ29"/>
    <mergeCell ref="BD151:BE151"/>
    <mergeCell ref="AI164:AJ164"/>
    <mergeCell ref="P2:T2"/>
    <mergeCell ref="AE33:AF33"/>
    <mergeCell ref="A74:B74"/>
    <mergeCell ref="BA175:BC175"/>
    <mergeCell ref="AK114:AL114"/>
    <mergeCell ref="AI41:AJ41"/>
    <mergeCell ref="BF92:BH92"/>
    <mergeCell ref="AM178:AO178"/>
    <mergeCell ref="AI35:AJ35"/>
    <mergeCell ref="A163:B163"/>
    <mergeCell ref="AP31:AQ31"/>
    <mergeCell ref="BF102:BH102"/>
    <mergeCell ref="R59:X59"/>
    <mergeCell ref="A76:B76"/>
    <mergeCell ref="BA177:BC177"/>
    <mergeCell ref="AU129:AV129"/>
    <mergeCell ref="J92:L92"/>
    <mergeCell ref="BF94:BH94"/>
    <mergeCell ref="AK99:AL99"/>
    <mergeCell ref="AM163:AO163"/>
    <mergeCell ref="R25:X25"/>
    <mergeCell ref="AI66:AJ66"/>
    <mergeCell ref="AY110:AZ110"/>
    <mergeCell ref="Y38:AD38"/>
    <mergeCell ref="AU131:AV131"/>
    <mergeCell ref="AG3:AH3"/>
    <mergeCell ref="BF6:BH6"/>
    <mergeCell ref="AM165:AO165"/>
    <mergeCell ref="BD183:BE183"/>
    <mergeCell ref="C105:F105"/>
    <mergeCell ref="AI68:AJ68"/>
    <mergeCell ref="AU2:AV2"/>
    <mergeCell ref="R113:X113"/>
    <mergeCell ref="J87:L87"/>
    <mergeCell ref="BA17:BC17"/>
    <mergeCell ref="BD54:BE54"/>
    <mergeCell ref="AI67:AJ67"/>
    <mergeCell ref="G122:I122"/>
    <mergeCell ref="AI61:AJ61"/>
    <mergeCell ref="J123:L123"/>
    <mergeCell ref="BD185:BE185"/>
    <mergeCell ref="AW189:AX189"/>
    <mergeCell ref="AM77:AO77"/>
    <mergeCell ref="AP171:AQ171"/>
    <mergeCell ref="J89:L89"/>
    <mergeCell ref="BA19:BC19"/>
    <mergeCell ref="BD56:BE56"/>
    <mergeCell ref="AI69:AJ69"/>
    <mergeCell ref="BF120:BH120"/>
    <mergeCell ref="AK125:AL125"/>
    <mergeCell ref="BI156:BK156"/>
    <mergeCell ref="AP42:AQ42"/>
    <mergeCell ref="M39:Q39"/>
    <mergeCell ref="A87:B87"/>
    <mergeCell ref="BA48:BC48"/>
    <mergeCell ref="AK152:AL152"/>
    <mergeCell ref="AK127:AL127"/>
    <mergeCell ref="AM191:AO191"/>
    <mergeCell ref="AU149:AV149"/>
    <mergeCell ref="AG21:AH21"/>
    <mergeCell ref="AR108:AT108"/>
    <mergeCell ref="BA14:BC14"/>
    <mergeCell ref="J113:L113"/>
    <mergeCell ref="A89:B89"/>
    <mergeCell ref="AU186:AV186"/>
    <mergeCell ref="J149:L149"/>
    <mergeCell ref="BF148:BH148"/>
    <mergeCell ref="J121:L121"/>
    <mergeCell ref="AR20:AT20"/>
    <mergeCell ref="Y95:AD95"/>
    <mergeCell ref="AM95:AO95"/>
    <mergeCell ref="J115:L115"/>
    <mergeCell ref="BA45:BC45"/>
    <mergeCell ref="AM89:AO89"/>
    <mergeCell ref="BD107:BE107"/>
    <mergeCell ref="AU144:AV144"/>
    <mergeCell ref="AG16:AH16"/>
    <mergeCell ref="G106:I106"/>
    <mergeCell ref="C162:F162"/>
    <mergeCell ref="BD196:BE196"/>
    <mergeCell ref="AR22:AT22"/>
    <mergeCell ref="AM97:AO97"/>
    <mergeCell ref="G105:I105"/>
    <mergeCell ref="AI122:AJ122"/>
    <mergeCell ref="AK178:AL178"/>
    <mergeCell ref="AG18:AH18"/>
    <mergeCell ref="M57:Q57"/>
    <mergeCell ref="AI105:AJ105"/>
    <mergeCell ref="AU175:AV175"/>
    <mergeCell ref="BD198:BE198"/>
    <mergeCell ref="AW91:AX91"/>
    <mergeCell ref="M29:Q29"/>
    <mergeCell ref="M23:Q23"/>
    <mergeCell ref="AK49:AL49"/>
    <mergeCell ref="AR9:AT9"/>
    <mergeCell ref="A115:B115"/>
    <mergeCell ref="AK186:AL186"/>
    <mergeCell ref="AI107:AJ107"/>
    <mergeCell ref="AP103:AQ103"/>
    <mergeCell ref="AP97:AQ97"/>
    <mergeCell ref="BF174:BH174"/>
    <mergeCell ref="AE101:AF101"/>
    <mergeCell ref="AM121:AO121"/>
    <mergeCell ref="M58:Q58"/>
    <mergeCell ref="AG163:AH163"/>
    <mergeCell ref="BF166:BH166"/>
    <mergeCell ref="AU170:AV170"/>
    <mergeCell ref="AP96:AQ96"/>
    <mergeCell ref="Y113:AD113"/>
    <mergeCell ref="AO2:AP2"/>
    <mergeCell ref="AK171:AL171"/>
    <mergeCell ref="C91:F91"/>
    <mergeCell ref="BF45:BH45"/>
    <mergeCell ref="G189:I189"/>
    <mergeCell ref="Y26:AD26"/>
    <mergeCell ref="AM123:AO123"/>
    <mergeCell ref="G34:I34"/>
    <mergeCell ref="AY151:AZ151"/>
    <mergeCell ref="AE153:AF153"/>
    <mergeCell ref="AK181:AL181"/>
    <mergeCell ref="C57:F57"/>
    <mergeCell ref="AU172:AV172"/>
    <mergeCell ref="AY17:AZ17"/>
    <mergeCell ref="AR40:AT40"/>
    <mergeCell ref="AP98:AQ98"/>
    <mergeCell ref="AE189:AF189"/>
    <mergeCell ref="BF47:BH47"/>
    <mergeCell ref="AM116:AO116"/>
    <mergeCell ref="AK196:AL196"/>
    <mergeCell ref="AO3:AP3"/>
    <mergeCell ref="AR33:AT33"/>
    <mergeCell ref="R39:X39"/>
    <mergeCell ref="AG77:AH77"/>
    <mergeCell ref="AP113:AQ113"/>
    <mergeCell ref="C86:F86"/>
    <mergeCell ref="AI11:AJ11"/>
    <mergeCell ref="BD120:BE120"/>
    <mergeCell ref="AI133:AJ133"/>
    <mergeCell ref="Y27:AD27"/>
    <mergeCell ref="BI45:BK45"/>
    <mergeCell ref="J47:L47"/>
    <mergeCell ref="AY55:AZ55"/>
    <mergeCell ref="AM118:AO118"/>
    <mergeCell ref="G29:I29"/>
    <mergeCell ref="C58:F58"/>
    <mergeCell ref="AK198:AL198"/>
    <mergeCell ref="AR35:AT35"/>
    <mergeCell ref="BF192:BH192"/>
    <mergeCell ref="AI135:AJ135"/>
    <mergeCell ref="AE29:AF29"/>
    <mergeCell ref="AK191:AL191"/>
    <mergeCell ref="J76:L76"/>
    <mergeCell ref="G31:I31"/>
    <mergeCell ref="BI46:BK46"/>
    <mergeCell ref="M42:Q42"/>
    <mergeCell ref="AP27:AQ27"/>
    <mergeCell ref="AU101:AV101"/>
    <mergeCell ref="BF194:BH194"/>
    <mergeCell ref="AK199:AL199"/>
    <mergeCell ref="AY79:AZ79"/>
    <mergeCell ref="AG87:AH87"/>
    <mergeCell ref="BF187:BH187"/>
    <mergeCell ref="R65:X65"/>
    <mergeCell ref="AM134:AO134"/>
    <mergeCell ref="AR93:AT93"/>
    <mergeCell ref="R21:X21"/>
    <mergeCell ref="AE24:AF24"/>
    <mergeCell ref="G176:I176"/>
    <mergeCell ref="Y9:AD9"/>
    <mergeCell ref="AG89:AH89"/>
    <mergeCell ref="Y167:AD167"/>
    <mergeCell ref="BF189:BH189"/>
    <mergeCell ref="AW158:AX158"/>
    <mergeCell ref="AE26:AF26"/>
    <mergeCell ref="R50:X50"/>
    <mergeCell ref="C70:F70"/>
    <mergeCell ref="AY74:AZ74"/>
    <mergeCell ref="AG82:AH82"/>
    <mergeCell ref="AG88:AH88"/>
    <mergeCell ref="Y11:AD11"/>
    <mergeCell ref="C106:F106"/>
    <mergeCell ref="G57:I57"/>
    <mergeCell ref="Y169:AD169"/>
    <mergeCell ref="AW160:AX160"/>
    <mergeCell ref="BD181:BE181"/>
    <mergeCell ref="G49:I49"/>
    <mergeCell ref="G171:I171"/>
    <mergeCell ref="AY76:AZ76"/>
    <mergeCell ref="AG90:AH90"/>
    <mergeCell ref="M129:Q129"/>
    <mergeCell ref="AI146:AJ146"/>
    <mergeCell ref="AP167:AQ167"/>
    <mergeCell ref="Y40:AD40"/>
    <mergeCell ref="AM162:AO162"/>
    <mergeCell ref="AI65:AJ65"/>
    <mergeCell ref="BF116:BH116"/>
    <mergeCell ref="AK121:AL121"/>
    <mergeCell ref="M70:Q70"/>
    <mergeCell ref="AP55:AQ55"/>
    <mergeCell ref="A187:B187"/>
    <mergeCell ref="AP38:AQ38"/>
    <mergeCell ref="C101:F101"/>
    <mergeCell ref="AW34:AX34"/>
    <mergeCell ref="AP169:AQ169"/>
    <mergeCell ref="AY63:AZ63"/>
    <mergeCell ref="M10:Q10"/>
    <mergeCell ref="AE42:AF42"/>
    <mergeCell ref="Y96:AD96"/>
    <mergeCell ref="J114:L114"/>
    <mergeCell ref="AG115:AH115"/>
    <mergeCell ref="BF118:BH118"/>
    <mergeCell ref="AK123:AL123"/>
    <mergeCell ref="AM187:AO187"/>
    <mergeCell ref="A189:B189"/>
    <mergeCell ref="AP40:AQ40"/>
    <mergeCell ref="BF117:BH117"/>
    <mergeCell ref="AW30:AX30"/>
    <mergeCell ref="AE44:AF44"/>
    <mergeCell ref="AY92:AZ92"/>
    <mergeCell ref="J145:L145"/>
    <mergeCell ref="AM189:AO189"/>
    <mergeCell ref="G75:I75"/>
    <mergeCell ref="R84:X84"/>
    <mergeCell ref="AG141:AH141"/>
    <mergeCell ref="R78:X78"/>
    <mergeCell ref="AW29:AX29"/>
    <mergeCell ref="AR106:AT106"/>
    <mergeCell ref="Y91:AD91"/>
    <mergeCell ref="J111:L111"/>
    <mergeCell ref="AM188:AO188"/>
    <mergeCell ref="AY94:AZ94"/>
    <mergeCell ref="AG12:AH12"/>
    <mergeCell ref="AR105:AT105"/>
    <mergeCell ref="R80:X80"/>
    <mergeCell ref="A29:B29"/>
    <mergeCell ref="AW31:AX31"/>
    <mergeCell ref="BI117:BK117"/>
    <mergeCell ref="BD192:BE192"/>
    <mergeCell ref="AY87:AZ87"/>
    <mergeCell ref="Y93:AD93"/>
    <mergeCell ref="AP195:AQ195"/>
    <mergeCell ref="AM190:AO190"/>
    <mergeCell ref="J140:L140"/>
    <mergeCell ref="AY6:AZ6"/>
    <mergeCell ref="AU112:AV112"/>
    <mergeCell ref="AG14:AH14"/>
    <mergeCell ref="AR107:AT107"/>
    <mergeCell ref="M150:Q150"/>
    <mergeCell ref="BD194:BE194"/>
    <mergeCell ref="A31:B31"/>
    <mergeCell ref="AP66:AQ66"/>
    <mergeCell ref="A58:B58"/>
    <mergeCell ref="AY89:AZ89"/>
    <mergeCell ref="BA36:BC36"/>
    <mergeCell ref="AP197:AQ197"/>
    <mergeCell ref="AE70:AF70"/>
    <mergeCell ref="G103:I103"/>
    <mergeCell ref="BA72:BC72"/>
    <mergeCell ref="AI78:AJ78"/>
    <mergeCell ref="M152:Q152"/>
    <mergeCell ref="AK134:AL134"/>
    <mergeCell ref="AP68:AQ68"/>
    <mergeCell ref="AE97:AF97"/>
    <mergeCell ref="AG159:AH159"/>
    <mergeCell ref="AU166:AV166"/>
    <mergeCell ref="AP67:AQ67"/>
    <mergeCell ref="Y109:AD109"/>
    <mergeCell ref="AE96:AF96"/>
    <mergeCell ref="Y119:AD119"/>
    <mergeCell ref="BF130:BH130"/>
    <mergeCell ref="AW49:AX49"/>
    <mergeCell ref="R8:X8"/>
    <mergeCell ref="AU168:AV168"/>
    <mergeCell ref="Y111:AD111"/>
    <mergeCell ref="J158:L158"/>
    <mergeCell ref="AE98:AF98"/>
    <mergeCell ref="AY24:AZ24"/>
    <mergeCell ref="AG154:AH154"/>
    <mergeCell ref="G129:I129"/>
    <mergeCell ref="AR29:AT29"/>
    <mergeCell ref="Y104:AD104"/>
    <mergeCell ref="R10:X10"/>
    <mergeCell ref="J130:L130"/>
    <mergeCell ref="C172:F172"/>
    <mergeCell ref="BA54:BC54"/>
    <mergeCell ref="M81:Q81"/>
    <mergeCell ref="AU197:AV197"/>
    <mergeCell ref="J160:L160"/>
    <mergeCell ref="BI16:BK16"/>
    <mergeCell ref="AY148:AZ148"/>
    <mergeCell ref="AM114:AO114"/>
    <mergeCell ref="AG156:AH156"/>
    <mergeCell ref="C171:F171"/>
    <mergeCell ref="A42:B42"/>
    <mergeCell ref="G131:I131"/>
    <mergeCell ref="AR31:AT31"/>
    <mergeCell ref="J159:L159"/>
    <mergeCell ref="J153:L153"/>
    <mergeCell ref="BI9:BK9"/>
    <mergeCell ref="BA56:BC56"/>
    <mergeCell ref="AY19:AZ19"/>
    <mergeCell ref="BA83:BC83"/>
    <mergeCell ref="AI106:AJ106"/>
    <mergeCell ref="J72:L72"/>
    <mergeCell ref="M163:Q163"/>
    <mergeCell ref="C173:F173"/>
    <mergeCell ref="AW100:AX100"/>
    <mergeCell ref="M76:Q76"/>
    <mergeCell ref="AR62:AT62"/>
    <mergeCell ref="BI11:BK11"/>
    <mergeCell ref="AK195:AL195"/>
    <mergeCell ref="BA85:BC85"/>
    <mergeCell ref="J184:L184"/>
    <mergeCell ref="M165:Q165"/>
    <mergeCell ref="AP112:AQ112"/>
    <mergeCell ref="AR176:AT176"/>
    <mergeCell ref="BF183:BH183"/>
    <mergeCell ref="AW102:AX102"/>
    <mergeCell ref="AP122:AQ122"/>
    <mergeCell ref="AR186:AT186"/>
    <mergeCell ref="BG3:BH3"/>
    <mergeCell ref="AU39:AV39"/>
    <mergeCell ref="R150:X150"/>
    <mergeCell ref="AG182:AH182"/>
    <mergeCell ref="AW95:AX95"/>
    <mergeCell ref="Y138:AD138"/>
    <mergeCell ref="BF185:BH185"/>
    <mergeCell ref="AR57:AT57"/>
    <mergeCell ref="Y132:AD132"/>
    <mergeCell ref="AY160:AZ160"/>
    <mergeCell ref="AE22:AF22"/>
    <mergeCell ref="AG84:AH84"/>
    <mergeCell ref="R152:X152"/>
    <mergeCell ref="AW103:AX103"/>
    <mergeCell ref="C199:F199"/>
    <mergeCell ref="AW97:AX97"/>
    <mergeCell ref="AY159:AZ159"/>
    <mergeCell ref="BI158:BK158"/>
    <mergeCell ref="G142:I142"/>
    <mergeCell ref="AY72:AZ72"/>
    <mergeCell ref="R23:X23"/>
    <mergeCell ref="AY47:AZ47"/>
    <mergeCell ref="AG86:AH86"/>
    <mergeCell ref="M94:Q94"/>
    <mergeCell ref="Y36:AD36"/>
    <mergeCell ref="G55:I55"/>
    <mergeCell ref="AP138:AQ138"/>
    <mergeCell ref="AY161:AZ161"/>
    <mergeCell ref="AW128:AX128"/>
    <mergeCell ref="G144:I144"/>
    <mergeCell ref="AI144:AJ144"/>
    <mergeCell ref="AP140:AQ140"/>
    <mergeCell ref="BI72:BK72"/>
    <mergeCell ref="M95:Q95"/>
    <mergeCell ref="AE48:AF48"/>
    <mergeCell ref="M89:Q89"/>
    <mergeCell ref="AP11:AQ11"/>
    <mergeCell ref="AR75:AT75"/>
    <mergeCell ref="AP133:AQ133"/>
    <mergeCell ref="G71:I71"/>
    <mergeCell ref="M97:Q97"/>
    <mergeCell ref="R74:X74"/>
    <mergeCell ref="AP135:AQ135"/>
    <mergeCell ref="Y62:AD62"/>
    <mergeCell ref="R163:X163"/>
    <mergeCell ref="Y193:AD193"/>
    <mergeCell ref="Y176:AD176"/>
    <mergeCell ref="BF198:BH198"/>
    <mergeCell ref="AR70:AT70"/>
    <mergeCell ref="R76:X76"/>
    <mergeCell ref="AW27:AX27"/>
    <mergeCell ref="AG114:AH114"/>
    <mergeCell ref="C123:F123"/>
    <mergeCell ref="AI170:AJ170"/>
    <mergeCell ref="Y64:AD64"/>
    <mergeCell ref="BI82:BK82"/>
    <mergeCell ref="AM186:AO186"/>
    <mergeCell ref="R165:X165"/>
    <mergeCell ref="AE51:AF51"/>
    <mergeCell ref="G66:I66"/>
    <mergeCell ref="AR103:AT103"/>
    <mergeCell ref="AY91:AZ91"/>
    <mergeCell ref="AG143:AH143"/>
    <mergeCell ref="BA155:BC155"/>
    <mergeCell ref="AY85:AZ85"/>
    <mergeCell ref="AG99:AH99"/>
    <mergeCell ref="M113:Q113"/>
    <mergeCell ref="AE66:AF66"/>
    <mergeCell ref="AI172:AJ172"/>
    <mergeCell ref="G74:I74"/>
    <mergeCell ref="G68:I68"/>
    <mergeCell ref="R77:X77"/>
    <mergeCell ref="AU110:AV110"/>
    <mergeCell ref="M148:Q148"/>
    <mergeCell ref="BI83:BK83"/>
    <mergeCell ref="BA157:BC157"/>
    <mergeCell ref="R92:X92"/>
    <mergeCell ref="AY116:AZ116"/>
    <mergeCell ref="AP153:AQ153"/>
    <mergeCell ref="BI85:BK85"/>
    <mergeCell ref="AW53:AX53"/>
    <mergeCell ref="AE67:AF67"/>
    <mergeCell ref="M108:Q108"/>
    <mergeCell ref="AW9:AX9"/>
    <mergeCell ref="AE61:AF61"/>
    <mergeCell ref="R94:X94"/>
    <mergeCell ref="AW45:AX45"/>
    <mergeCell ref="AW167:AX167"/>
    <mergeCell ref="AP65:AQ65"/>
    <mergeCell ref="AR129:AT129"/>
    <mergeCell ref="BA152:BC152"/>
    <mergeCell ref="AW55:AX55"/>
    <mergeCell ref="C113:F113"/>
    <mergeCell ref="R87:X87"/>
    <mergeCell ref="AY111:AZ111"/>
    <mergeCell ref="AG125:AH125"/>
    <mergeCell ref="BD34:BE34"/>
    <mergeCell ref="Y75:AD75"/>
    <mergeCell ref="AR131:AT131"/>
    <mergeCell ref="AY119:AZ119"/>
    <mergeCell ref="R89:X89"/>
    <mergeCell ref="A38:B38"/>
    <mergeCell ref="AW40:AX40"/>
    <mergeCell ref="AG127:AH127"/>
    <mergeCell ref="AU7:AV7"/>
    <mergeCell ref="BD36:BE36"/>
    <mergeCell ref="C142:F142"/>
    <mergeCell ref="BD30:BE30"/>
    <mergeCell ref="M166:Q166"/>
    <mergeCell ref="AM199:AO199"/>
    <mergeCell ref="BA79:BC79"/>
    <mergeCell ref="BI14:BK14"/>
    <mergeCell ref="BI136:BK136"/>
    <mergeCell ref="M159:Q159"/>
    <mergeCell ref="A40:B40"/>
    <mergeCell ref="AP75:AQ75"/>
    <mergeCell ref="A67:B67"/>
    <mergeCell ref="AW71:AX71"/>
    <mergeCell ref="J157:L157"/>
    <mergeCell ref="BI13:BK13"/>
    <mergeCell ref="BI7:BK7"/>
    <mergeCell ref="BA81:BC81"/>
    <mergeCell ref="M167:Q167"/>
    <mergeCell ref="AK160:AL160"/>
    <mergeCell ref="AU8:AV8"/>
    <mergeCell ref="M161:Q161"/>
    <mergeCell ref="AI59:AJ59"/>
    <mergeCell ref="AU10:AV10"/>
    <mergeCell ref="AG178:AH178"/>
    <mergeCell ref="R115:X115"/>
    <mergeCell ref="AW66:AX66"/>
    <mergeCell ref="AR53:AT53"/>
    <mergeCell ref="AG49:AH49"/>
    <mergeCell ref="AR142:AT142"/>
    <mergeCell ref="R148:X148"/>
    <mergeCell ref="C195:F195"/>
    <mergeCell ref="AW93:AX93"/>
    <mergeCell ref="A66:B66"/>
    <mergeCell ref="AW68:AX68"/>
    <mergeCell ref="AY130:AZ130"/>
    <mergeCell ref="Y136:AD136"/>
    <mergeCell ref="AR55:AT55"/>
    <mergeCell ref="BI154:BK154"/>
    <mergeCell ref="AY155:AZ155"/>
    <mergeCell ref="G138:I138"/>
    <mergeCell ref="J177:L177"/>
    <mergeCell ref="AR144:AT144"/>
    <mergeCell ref="AI113:AJ113"/>
    <mergeCell ref="M187:Q187"/>
    <mergeCell ref="BI25:BK25"/>
    <mergeCell ref="C197:F197"/>
    <mergeCell ref="AY157:AZ157"/>
    <mergeCell ref="AK29:AL29"/>
    <mergeCell ref="A95:B95"/>
    <mergeCell ref="J185:L185"/>
    <mergeCell ref="K2:O2"/>
    <mergeCell ref="G140:I140"/>
    <mergeCell ref="AU151:AV151"/>
    <mergeCell ref="M195:Q195"/>
    <mergeCell ref="AI115:AJ115"/>
    <mergeCell ref="BI155:BK155"/>
    <mergeCell ref="M189:Q189"/>
    <mergeCell ref="BF26:BH26"/>
    <mergeCell ref="Y131:AD131"/>
    <mergeCell ref="BI149:BK149"/>
    <mergeCell ref="A122:B122"/>
    <mergeCell ref="AK31:AL31"/>
    <mergeCell ref="A97:B97"/>
    <mergeCell ref="G11:I11"/>
    <mergeCell ref="AE167:AF167"/>
    <mergeCell ref="AG196:AH196"/>
    <mergeCell ref="G169:I169"/>
    <mergeCell ref="BA100:BC100"/>
    <mergeCell ref="AP104:AQ104"/>
    <mergeCell ref="Y146:AD146"/>
    <mergeCell ref="BA94:BC94"/>
    <mergeCell ref="BI151:BK151"/>
    <mergeCell ref="AE133:AF133"/>
    <mergeCell ref="AU46:AV46"/>
    <mergeCell ref="AU21:AV21"/>
    <mergeCell ref="BI180:BK180"/>
    <mergeCell ref="BA66:BC66"/>
    <mergeCell ref="BF27:BH27"/>
    <mergeCell ref="AP131:AQ131"/>
    <mergeCell ref="AK32:AL32"/>
    <mergeCell ref="AG5:AT5"/>
    <mergeCell ref="AY61:AZ61"/>
    <mergeCell ref="AU23:AV23"/>
    <mergeCell ref="R134:X134"/>
    <mergeCell ref="R159:X159"/>
    <mergeCell ref="C39:F39"/>
    <mergeCell ref="AE162:AF162"/>
    <mergeCell ref="AG51:AH51"/>
    <mergeCell ref="BD100:BE100"/>
    <mergeCell ref="AY183:AZ183"/>
    <mergeCell ref="AR66:AT66"/>
    <mergeCell ref="BA95:BC95"/>
    <mergeCell ref="J27:L27"/>
    <mergeCell ref="AG191:AH191"/>
    <mergeCell ref="AR197:AT197"/>
    <mergeCell ref="C32:F32"/>
    <mergeCell ref="R161:X161"/>
    <mergeCell ref="AE164:AF164"/>
    <mergeCell ref="AY185:AZ185"/>
    <mergeCell ref="AU79:AV79"/>
    <mergeCell ref="BD102:BE102"/>
    <mergeCell ref="Y149:AD149"/>
    <mergeCell ref="AR68:AT68"/>
    <mergeCell ref="G195:I195"/>
    <mergeCell ref="J196:L196"/>
    <mergeCell ref="AY56:AZ56"/>
    <mergeCell ref="BA120:BC120"/>
    <mergeCell ref="AW137:AX137"/>
    <mergeCell ref="BI79:BK79"/>
    <mergeCell ref="BA128:BC128"/>
    <mergeCell ref="BF9:BH9"/>
    <mergeCell ref="A27:B27"/>
    <mergeCell ref="G153:I153"/>
    <mergeCell ref="AI197:AJ197"/>
    <mergeCell ref="AP193:AQ193"/>
    <mergeCell ref="R63:X63"/>
    <mergeCell ref="AU74:AV74"/>
    <mergeCell ref="AI169:AJ169"/>
    <mergeCell ref="AW139:AX139"/>
    <mergeCell ref="BA121:BC121"/>
    <mergeCell ref="BI81:BK81"/>
    <mergeCell ref="BF11:BH11"/>
    <mergeCell ref="AM27:AO27"/>
    <mergeCell ref="AK16:AL16"/>
    <mergeCell ref="AU76:AV76"/>
    <mergeCell ref="AW138:AX138"/>
    <mergeCell ref="R187:X187"/>
    <mergeCell ref="AE146:AF146"/>
    <mergeCell ref="Y200:AD200"/>
    <mergeCell ref="BA148:BC148"/>
    <mergeCell ref="C50:F50"/>
    <mergeCell ref="A22:B22"/>
    <mergeCell ref="AE65:AF65"/>
    <mergeCell ref="J38:L38"/>
    <mergeCell ref="R189:X189"/>
    <mergeCell ref="AW140:AX140"/>
    <mergeCell ref="AY196:AZ196"/>
    <mergeCell ref="Y177:AD177"/>
    <mergeCell ref="AM22:AO22"/>
    <mergeCell ref="G179:I179"/>
    <mergeCell ref="J40:L40"/>
    <mergeCell ref="A9:B9"/>
    <mergeCell ref="BD32:BE32"/>
    <mergeCell ref="BF96:BH96"/>
    <mergeCell ref="BD26:BE26"/>
    <mergeCell ref="AI39:AJ39"/>
    <mergeCell ref="A167:B167"/>
    <mergeCell ref="AP175:AQ175"/>
    <mergeCell ref="AY198:AZ198"/>
    <mergeCell ref="AU92:AV92"/>
    <mergeCell ref="BI107:BK107"/>
    <mergeCell ref="BA181:BC181"/>
    <mergeCell ref="M130:Q130"/>
    <mergeCell ref="AM9:AO9"/>
    <mergeCell ref="A11:B11"/>
    <mergeCell ref="AP177:AQ177"/>
    <mergeCell ref="AK103:AL103"/>
    <mergeCell ref="A169:B169"/>
    <mergeCell ref="BA174:BC174"/>
    <mergeCell ref="AU94:AV94"/>
    <mergeCell ref="M132:Q132"/>
    <mergeCell ref="BF91:BH91"/>
    <mergeCell ref="BI92:BK92"/>
    <mergeCell ref="AM11:AO11"/>
    <mergeCell ref="AU87:AV87"/>
    <mergeCell ref="AY38:AZ38"/>
    <mergeCell ref="AU6:AV6"/>
    <mergeCell ref="J91:L91"/>
    <mergeCell ref="AW62:AX62"/>
    <mergeCell ref="BF93:BH93"/>
    <mergeCell ref="BI94:BK94"/>
    <mergeCell ref="R111:X111"/>
    <mergeCell ref="AP172:AQ172"/>
    <mergeCell ref="AW193:AX193"/>
    <mergeCell ref="AU89:AV89"/>
    <mergeCell ref="AM12:AO12"/>
    <mergeCell ref="AR113:AT113"/>
    <mergeCell ref="AR138:AT138"/>
    <mergeCell ref="A179:B179"/>
    <mergeCell ref="AW64:AX64"/>
    <mergeCell ref="AE78:AF78"/>
    <mergeCell ref="BD60:BE60"/>
    <mergeCell ref="AG134:AH134"/>
    <mergeCell ref="BD16:BE16"/>
    <mergeCell ref="AK129:AL129"/>
    <mergeCell ref="AW153:AX153"/>
    <mergeCell ref="BD174:BE174"/>
    <mergeCell ref="AU120:AV120"/>
    <mergeCell ref="AP46:AQ46"/>
    <mergeCell ref="AR140:AT140"/>
    <mergeCell ref="AM41:AO41"/>
    <mergeCell ref="BD53:BE53"/>
    <mergeCell ref="J122:L122"/>
    <mergeCell ref="A91:B91"/>
    <mergeCell ref="AY128:AZ128"/>
    <mergeCell ref="BA192:BC192"/>
    <mergeCell ref="AK131:AL131"/>
    <mergeCell ref="BD45:BE45"/>
    <mergeCell ref="AI58:AJ58"/>
    <mergeCell ref="BF109:BH109"/>
    <mergeCell ref="R114:X114"/>
    <mergeCell ref="AU147:AV147"/>
    <mergeCell ref="AP48:AQ48"/>
    <mergeCell ref="A180:B180"/>
    <mergeCell ref="M185:Q185"/>
    <mergeCell ref="BD55:BE55"/>
    <mergeCell ref="BI120:BK120"/>
    <mergeCell ref="BA194:BC194"/>
    <mergeCell ref="BF75:BH75"/>
    <mergeCell ref="AK2:AL2"/>
    <mergeCell ref="AM66:AO66"/>
    <mergeCell ref="A93:B93"/>
    <mergeCell ref="BI147:BK147"/>
    <mergeCell ref="AU17:AV17"/>
    <mergeCell ref="AM68:AO68"/>
    <mergeCell ref="C8:F8"/>
    <mergeCell ref="AU148:AV148"/>
    <mergeCell ref="M186:Q186"/>
    <mergeCell ref="BD200:BE200"/>
    <mergeCell ref="BA189:BC189"/>
    <mergeCell ref="AE106:AF106"/>
    <mergeCell ref="AU19:AV19"/>
    <mergeCell ref="R130:X130"/>
    <mergeCell ref="J104:L104"/>
    <mergeCell ref="BA34:BC34"/>
    <mergeCell ref="BD71:BE71"/>
    <mergeCell ref="AR168:AT168"/>
    <mergeCell ref="R132:X132"/>
    <mergeCell ref="C179:F179"/>
    <mergeCell ref="A75:B75"/>
    <mergeCell ref="BD73:BE73"/>
    <mergeCell ref="BF137:BH137"/>
    <mergeCell ref="BI173:BK173"/>
    <mergeCell ref="AR153:AT153"/>
    <mergeCell ref="M196:Q196"/>
    <mergeCell ref="AK55:AL55"/>
    <mergeCell ref="A104:B104"/>
    <mergeCell ref="G193:I193"/>
    <mergeCell ref="BI50:BK50"/>
    <mergeCell ref="AK169:AL169"/>
    <mergeCell ref="BA124:BC124"/>
    <mergeCell ref="BI44:BK44"/>
    <mergeCell ref="BI181:BK181"/>
    <mergeCell ref="BF41:BH41"/>
    <mergeCell ref="M198:Q198"/>
    <mergeCell ref="AR184:AT184"/>
    <mergeCell ref="AK46:AL46"/>
    <mergeCell ref="AK40:AL40"/>
    <mergeCell ref="A106:B106"/>
    <mergeCell ref="BA117:BC117"/>
    <mergeCell ref="AU37:AV37"/>
    <mergeCell ref="AU159:AV159"/>
    <mergeCell ref="BF7:BH7"/>
    <mergeCell ref="AU72:AV72"/>
    <mergeCell ref="AU47:AV47"/>
    <mergeCell ref="R183:X183"/>
    <mergeCell ref="AE186:AF186"/>
    <mergeCell ref="AM112:AO112"/>
    <mergeCell ref="BD124:BE124"/>
    <mergeCell ref="C46:F46"/>
    <mergeCell ref="C21:F21"/>
    <mergeCell ref="BA119:BC119"/>
    <mergeCell ref="AU161:AV161"/>
    <mergeCell ref="J34:L34"/>
    <mergeCell ref="J9:L9"/>
    <mergeCell ref="BF36:BH36"/>
    <mergeCell ref="AR179:AT179"/>
    <mergeCell ref="AM105:AO105"/>
    <mergeCell ref="AW136:AX136"/>
    <mergeCell ref="R185:X185"/>
    <mergeCell ref="AI8:AJ8"/>
    <mergeCell ref="AY192:AZ192"/>
    <mergeCell ref="AE171:AF171"/>
    <mergeCell ref="BD126:BE126"/>
    <mergeCell ref="A130:B130"/>
    <mergeCell ref="C48:F48"/>
    <mergeCell ref="C23:F23"/>
    <mergeCell ref="BI191:BK191"/>
    <mergeCell ref="G175:I175"/>
    <mergeCell ref="J36:L36"/>
    <mergeCell ref="AM107:AO107"/>
    <mergeCell ref="AI10:AJ10"/>
    <mergeCell ref="A138:B138"/>
    <mergeCell ref="AY194:AZ194"/>
    <mergeCell ref="A132:B132"/>
    <mergeCell ref="AU63:AV63"/>
    <mergeCell ref="AK197:AL197"/>
    <mergeCell ref="G177:I177"/>
    <mergeCell ref="BI192:BK192"/>
    <mergeCell ref="Y168:AD168"/>
    <mergeCell ref="AK74:AL74"/>
    <mergeCell ref="AM138:AO138"/>
    <mergeCell ref="AK68:AL68"/>
    <mergeCell ref="J31:L31"/>
    <mergeCell ref="Y13:AD13"/>
    <mergeCell ref="BF62:BH62"/>
    <mergeCell ref="BI63:BK63"/>
    <mergeCell ref="BA137:BC137"/>
    <mergeCell ref="AR21:AT21"/>
    <mergeCell ref="AU83:AV83"/>
    <mergeCell ref="C74:F74"/>
    <mergeCell ref="J62:L62"/>
    <mergeCell ref="BF64:BH64"/>
    <mergeCell ref="AP168:AQ168"/>
    <mergeCell ref="AK69:AL69"/>
    <mergeCell ref="AU85:AV85"/>
    <mergeCell ref="R196:X196"/>
    <mergeCell ref="AE199:AF199"/>
    <mergeCell ref="Y8:AD8"/>
    <mergeCell ref="C103:F103"/>
    <mergeCell ref="BD137:BE137"/>
    <mergeCell ref="AI150:AJ150"/>
    <mergeCell ref="Y184:AD184"/>
    <mergeCell ref="J64:L64"/>
    <mergeCell ref="R198:X198"/>
    <mergeCell ref="AW149:AX149"/>
    <mergeCell ref="AI21:AJ21"/>
    <mergeCell ref="AU116:AV116"/>
    <mergeCell ref="AR111:AT111"/>
    <mergeCell ref="BD139:BE139"/>
    <mergeCell ref="AI152:AJ152"/>
    <mergeCell ref="J93:L93"/>
    <mergeCell ref="G48:I48"/>
    <mergeCell ref="R51:X51"/>
    <mergeCell ref="BD138:BE138"/>
    <mergeCell ref="AI23:AJ23"/>
    <mergeCell ref="A176:B176"/>
    <mergeCell ref="BD51:BE51"/>
    <mergeCell ref="BI116:BK116"/>
    <mergeCell ref="A64:B64"/>
    <mergeCell ref="A186:B186"/>
    <mergeCell ref="AU117:AV117"/>
    <mergeCell ref="BF82:BH82"/>
    <mergeCell ref="AU111:AV111"/>
    <mergeCell ref="A178:B178"/>
    <mergeCell ref="AK87:AL87"/>
    <mergeCell ref="AE41:AF41"/>
    <mergeCell ref="BI118:BK118"/>
    <mergeCell ref="AM64:AO64"/>
    <mergeCell ref="AK122:AL122"/>
    <mergeCell ref="AP39:AQ39"/>
    <mergeCell ref="AW175:AX175"/>
    <mergeCell ref="AM153:AO153"/>
    <mergeCell ref="AE43:AF43"/>
    <mergeCell ref="AM30:AO30"/>
    <mergeCell ref="C87:F87"/>
    <mergeCell ref="AG105:AH105"/>
    <mergeCell ref="BA160:BC160"/>
    <mergeCell ref="Y28:AD28"/>
    <mergeCell ref="J75:L75"/>
    <mergeCell ref="BD67:BE67"/>
    <mergeCell ref="AW177:AX177"/>
    <mergeCell ref="AM65:AO65"/>
    <mergeCell ref="AG107:AH107"/>
    <mergeCell ref="C89:F89"/>
    <mergeCell ref="AM21:AO21"/>
    <mergeCell ref="C116:F116"/>
    <mergeCell ref="AI163:AJ163"/>
    <mergeCell ref="AE131:AF131"/>
    <mergeCell ref="Y57:AD57"/>
    <mergeCell ref="BA32:BC32"/>
    <mergeCell ref="BD69:BE69"/>
    <mergeCell ref="AQ2:AR2"/>
    <mergeCell ref="BF133:BH133"/>
    <mergeCell ref="AI76:AJ76"/>
    <mergeCell ref="C88:F88"/>
    <mergeCell ref="AK138:AL138"/>
    <mergeCell ref="M27:Q27"/>
    <mergeCell ref="AG189:AH189"/>
    <mergeCell ref="BF135:BH135"/>
    <mergeCell ref="BD193:BE193"/>
    <mergeCell ref="AK140:AL140"/>
    <mergeCell ref="AI77:AJ77"/>
    <mergeCell ref="BF128:BH128"/>
    <mergeCell ref="AU130:AV130"/>
    <mergeCell ref="BF136:BH136"/>
    <mergeCell ref="AW99:AX99"/>
    <mergeCell ref="C17:F17"/>
    <mergeCell ref="AG29:AH29"/>
    <mergeCell ref="AM49:AO49"/>
    <mergeCell ref="A103:B103"/>
    <mergeCell ref="Y110:AD110"/>
    <mergeCell ref="AW101:AX101"/>
    <mergeCell ref="AE115:AF115"/>
    <mergeCell ref="M9:Q9"/>
    <mergeCell ref="C19:F19"/>
    <mergeCell ref="AG31:AH31"/>
    <mergeCell ref="AM1:AX1"/>
    <mergeCell ref="J7:L7"/>
    <mergeCell ref="AP83:AQ83"/>
    <mergeCell ref="AM103:AO103"/>
    <mergeCell ref="AM78:AO78"/>
    <mergeCell ref="AY165:AZ165"/>
    <mergeCell ref="A128:B128"/>
    <mergeCell ref="M11:Q11"/>
    <mergeCell ref="BD82:BE82"/>
    <mergeCell ref="AI95:AJ95"/>
    <mergeCell ref="BF146:BH146"/>
    <mergeCell ref="AI89:AJ89"/>
    <mergeCell ref="AP85:AQ85"/>
    <mergeCell ref="A136:B136"/>
    <mergeCell ref="AG32:AH32"/>
    <mergeCell ref="C14:F14"/>
    <mergeCell ref="M40:Q40"/>
    <mergeCell ref="AU183:AV183"/>
    <mergeCell ref="AI97:AJ97"/>
    <mergeCell ref="BF58:BH58"/>
    <mergeCell ref="AK153:AL153"/>
    <mergeCell ref="A129:B129"/>
    <mergeCell ref="BI190:BK190"/>
    <mergeCell ref="BA46:BC46"/>
    <mergeCell ref="AU54:AV54"/>
    <mergeCell ref="A127:B127"/>
    <mergeCell ref="AU185:AV185"/>
    <mergeCell ref="AG57:AH57"/>
    <mergeCell ref="BF60:BH60"/>
    <mergeCell ref="AK65:AL65"/>
    <mergeCell ref="AM129:AO129"/>
    <mergeCell ref="A131:B131"/>
    <mergeCell ref="AU56:AV56"/>
    <mergeCell ref="AR46:AT46"/>
    <mergeCell ref="R27:X27"/>
    <mergeCell ref="AY7:AZ7"/>
    <mergeCell ref="BD108:BE108"/>
    <mergeCell ref="AY34:AZ34"/>
    <mergeCell ref="AI121:AJ121"/>
    <mergeCell ref="Y15:AD15"/>
    <mergeCell ref="AG42:AH42"/>
    <mergeCell ref="J60:L60"/>
    <mergeCell ref="AM131:AO131"/>
    <mergeCell ref="C188:F188"/>
    <mergeCell ref="G17:I17"/>
    <mergeCell ref="AR48:AT48"/>
    <mergeCell ref="AE172:AF172"/>
    <mergeCell ref="J176:L176"/>
    <mergeCell ref="AP13:AQ13"/>
    <mergeCell ref="J53:L53"/>
    <mergeCell ref="C76:F76"/>
    <mergeCell ref="AY36:AZ36"/>
    <mergeCell ref="AI148:AJ148"/>
    <mergeCell ref="J170:L170"/>
    <mergeCell ref="AK179:AL179"/>
    <mergeCell ref="G19:I19"/>
    <mergeCell ref="J178:L178"/>
    <mergeCell ref="J55:L55"/>
    <mergeCell ref="BA102:BC102"/>
    <mergeCell ref="BF42:BH42"/>
    <mergeCell ref="BD136:BE136"/>
    <mergeCell ref="BF200:BH200"/>
    <mergeCell ref="AP8:AQ8"/>
    <mergeCell ref="AK83:AL83"/>
    <mergeCell ref="R9:X9"/>
    <mergeCell ref="AU196:AV196"/>
    <mergeCell ref="BF44:BH44"/>
    <mergeCell ref="BF71:BH71"/>
    <mergeCell ref="AP10:AQ10"/>
    <mergeCell ref="AR74:AT74"/>
    <mergeCell ref="AM149:AO149"/>
    <mergeCell ref="R11:X11"/>
    <mergeCell ref="AE39:AF39"/>
    <mergeCell ref="R38:X38"/>
    <mergeCell ref="A55:B55"/>
    <mergeCell ref="AU198:AV198"/>
    <mergeCell ref="J71:L71"/>
    <mergeCell ref="BF73:BH73"/>
    <mergeCell ref="AM142:AO142"/>
    <mergeCell ref="AW173:AX173"/>
    <mergeCell ref="AR38:AT38"/>
    <mergeCell ref="AG103:AH103"/>
    <mergeCell ref="R40:X40"/>
    <mergeCell ref="C112:F112"/>
    <mergeCell ref="AI159:AJ159"/>
    <mergeCell ref="Y53:AD53"/>
    <mergeCell ref="G72:I72"/>
    <mergeCell ref="J73:L73"/>
    <mergeCell ref="AM144:AO144"/>
    <mergeCell ref="C84:F84"/>
    <mergeCell ref="AI47:AJ47"/>
    <mergeCell ref="A200:B200"/>
    <mergeCell ref="BD154:BE154"/>
    <mergeCell ref="AI167:AJ167"/>
    <mergeCell ref="C114:F114"/>
    <mergeCell ref="AI161:AJ161"/>
    <mergeCell ref="Y55:AD55"/>
    <mergeCell ref="AW16:AX16"/>
    <mergeCell ref="J102:L102"/>
    <mergeCell ref="BD164:BE164"/>
    <mergeCell ref="AG98:AH98"/>
    <mergeCell ref="M112:Q112"/>
    <mergeCell ref="AP28:AQ28"/>
    <mergeCell ref="J68:L68"/>
    <mergeCell ref="AI162:AJ162"/>
    <mergeCell ref="M114:Q114"/>
    <mergeCell ref="AP21:AQ21"/>
    <mergeCell ref="AG129:AH129"/>
    <mergeCell ref="Y79:AD79"/>
    <mergeCell ref="BF101:BH101"/>
    <mergeCell ref="BA27:BC27"/>
    <mergeCell ref="BF126:BH126"/>
    <mergeCell ref="A197:B197"/>
    <mergeCell ref="AK106:AL106"/>
    <mergeCell ref="AU128:AV128"/>
    <mergeCell ref="AW184:AX184"/>
    <mergeCell ref="AP23:AQ23"/>
    <mergeCell ref="R93:X93"/>
    <mergeCell ref="AE58:AF58"/>
    <mergeCell ref="AG131:AH131"/>
    <mergeCell ref="C140:F140"/>
    <mergeCell ref="BD180:BE180"/>
    <mergeCell ref="AI187:AJ187"/>
    <mergeCell ref="AR6:AT6"/>
    <mergeCell ref="Y81:AD81"/>
    <mergeCell ref="Y37:AD37"/>
    <mergeCell ref="J128:L128"/>
    <mergeCell ref="AG2:AH2"/>
    <mergeCell ref="BD182:BE182"/>
    <mergeCell ref="C104:F104"/>
    <mergeCell ref="AM74:AO74"/>
    <mergeCell ref="AY102:AZ102"/>
    <mergeCell ref="AI189:AJ189"/>
    <mergeCell ref="M13:Q13"/>
    <mergeCell ref="G91:I91"/>
    <mergeCell ref="M7:Q7"/>
    <mergeCell ref="G85:I85"/>
    <mergeCell ref="BA16:BC16"/>
    <mergeCell ref="BD175:BE175"/>
    <mergeCell ref="AP81:AQ81"/>
    <mergeCell ref="AM76:AO76"/>
    <mergeCell ref="BI153:BK153"/>
    <mergeCell ref="BA9:BC9"/>
    <mergeCell ref="M36:Q36"/>
    <mergeCell ref="AP170:AQ170"/>
    <mergeCell ref="BD177:BE177"/>
    <mergeCell ref="AY103:AZ103"/>
    <mergeCell ref="C99:F99"/>
    <mergeCell ref="AE84:AF84"/>
    <mergeCell ref="M8:Q8"/>
    <mergeCell ref="Y63:AD63"/>
    <mergeCell ref="BA11:BC11"/>
    <mergeCell ref="AP76:AQ76"/>
    <mergeCell ref="AE86:AF86"/>
    <mergeCell ref="C130:F130"/>
    <mergeCell ref="AE80:AF80"/>
    <mergeCell ref="AG142:AH142"/>
    <mergeCell ref="BF145:BH145"/>
    <mergeCell ref="Y92:AD92"/>
    <mergeCell ref="BF139:BH139"/>
    <mergeCell ref="AG55:AH55"/>
    <mergeCell ref="AR148:AT148"/>
    <mergeCell ref="R112:X112"/>
    <mergeCell ref="G13:I13"/>
    <mergeCell ref="R106:X106"/>
    <mergeCell ref="AG144:AH144"/>
    <mergeCell ref="C153:F153"/>
    <mergeCell ref="C159:F159"/>
    <mergeCell ref="AR19:AT19"/>
    <mergeCell ref="Y94:AD94"/>
    <mergeCell ref="C72:F72"/>
    <mergeCell ref="BD106:BE106"/>
    <mergeCell ref="AY32:AZ32"/>
    <mergeCell ref="AI119:AJ119"/>
    <mergeCell ref="C125:F125"/>
    <mergeCell ref="BF170:BH170"/>
    <mergeCell ref="AK175:AL175"/>
    <mergeCell ref="C186:F186"/>
    <mergeCell ref="G15:I15"/>
    <mergeCell ref="C161:F161"/>
    <mergeCell ref="AP92:AQ92"/>
    <mergeCell ref="AM87:AO87"/>
    <mergeCell ref="J174:L174"/>
    <mergeCell ref="M64:Q64"/>
    <mergeCell ref="J168:L168"/>
    <mergeCell ref="BI24:BK24"/>
    <mergeCell ref="G104:I104"/>
    <mergeCell ref="BA98:BC98"/>
    <mergeCell ref="BF172:BH172"/>
    <mergeCell ref="AK177:AL177"/>
    <mergeCell ref="M178:Q178"/>
    <mergeCell ref="AP94:AQ94"/>
    <mergeCell ref="BI32:BK32"/>
    <mergeCell ref="AI114:AJ114"/>
    <mergeCell ref="AK176:AL176"/>
    <mergeCell ref="BI26:BK26"/>
    <mergeCell ref="AE8:AF8"/>
    <mergeCell ref="J169:L169"/>
    <mergeCell ref="M21:Q21"/>
    <mergeCell ref="AP6:AQ6"/>
    <mergeCell ref="BF173:BH173"/>
    <mergeCell ref="BA93:BC93"/>
    <mergeCell ref="AE10:AF10"/>
    <mergeCell ref="R34:X34"/>
    <mergeCell ref="C54:F54"/>
    <mergeCell ref="AG66:AH66"/>
    <mergeCell ref="AP95:AQ95"/>
    <mergeCell ref="AR159:AT159"/>
    <mergeCell ref="AP89:AQ89"/>
    <mergeCell ref="A140:B140"/>
    <mergeCell ref="AM113:AO113"/>
    <mergeCell ref="AR72:AT72"/>
    <mergeCell ref="Y147:AD147"/>
    <mergeCell ref="J200:L200"/>
    <mergeCell ref="G155:I155"/>
    <mergeCell ref="BF158:BH158"/>
    <mergeCell ref="R36:X36"/>
    <mergeCell ref="C56:F56"/>
    <mergeCell ref="AY60:AZ60"/>
    <mergeCell ref="AG68:AH68"/>
    <mergeCell ref="AG74:AH74"/>
    <mergeCell ref="AI130:AJ130"/>
    <mergeCell ref="AR161:AT161"/>
    <mergeCell ref="Y24:AD24"/>
    <mergeCell ref="BI42:BK42"/>
    <mergeCell ref="AY174:AZ174"/>
    <mergeCell ref="AP120:AQ120"/>
    <mergeCell ref="AM115:AO115"/>
    <mergeCell ref="AG67:AH67"/>
    <mergeCell ref="G157:I157"/>
    <mergeCell ref="BF13:BH13"/>
    <mergeCell ref="BA82:BC82"/>
    <mergeCell ref="AI132:AJ132"/>
    <mergeCell ref="AY45:AZ45"/>
    <mergeCell ref="Y148:AD148"/>
    <mergeCell ref="AK48:AL48"/>
    <mergeCell ref="G28:I28"/>
    <mergeCell ref="AG69:AH69"/>
    <mergeCell ref="M83:Q83"/>
    <mergeCell ref="G186:I186"/>
    <mergeCell ref="Y19:AD19"/>
    <mergeCell ref="G30:I30"/>
    <mergeCell ref="G152:I152"/>
    <mergeCell ref="M110:Q110"/>
    <mergeCell ref="BF184:BH184"/>
    <mergeCell ref="AW13:AX13"/>
    <mergeCell ref="AP148:AQ148"/>
    <mergeCell ref="AY42:AZ42"/>
    <mergeCell ref="AE21:AF21"/>
    <mergeCell ref="R176:X176"/>
    <mergeCell ref="AY200:AZ200"/>
    <mergeCell ref="BD117:BE117"/>
    <mergeCell ref="AP19:AQ19"/>
    <mergeCell ref="BA112:BC112"/>
    <mergeCell ref="R64:X64"/>
    <mergeCell ref="AW15:AX15"/>
    <mergeCell ref="AE23:AF23"/>
    <mergeCell ref="AY71:AZ71"/>
    <mergeCell ref="Y77:AD77"/>
    <mergeCell ref="R178:X178"/>
    <mergeCell ref="AE181:AF181"/>
    <mergeCell ref="AM168:AO168"/>
    <mergeCell ref="G54:I54"/>
    <mergeCell ref="AR91:AT91"/>
    <mergeCell ref="R57:X57"/>
    <mergeCell ref="Y166:AD166"/>
    <mergeCell ref="AR85:AT85"/>
    <mergeCell ref="Y160:AD160"/>
    <mergeCell ref="AI185:AJ185"/>
    <mergeCell ref="R49:X49"/>
    <mergeCell ref="AY73:AZ73"/>
    <mergeCell ref="J126:L126"/>
    <mergeCell ref="G81:I81"/>
    <mergeCell ref="G56:I56"/>
    <mergeCell ref="AG122:AH122"/>
    <mergeCell ref="A8:B8"/>
    <mergeCell ref="AW10:AX10"/>
    <mergeCell ref="BI96:BK96"/>
    <mergeCell ref="M136:Q136"/>
    <mergeCell ref="A184:B184"/>
    <mergeCell ref="Y72:AD72"/>
    <mergeCell ref="AP174:AQ174"/>
    <mergeCell ref="AM169:AO169"/>
    <mergeCell ref="BA139:BC139"/>
    <mergeCell ref="AU91:AV91"/>
    <mergeCell ref="AR86:AT86"/>
    <mergeCell ref="AP166:AQ166"/>
    <mergeCell ref="BD173:BE173"/>
    <mergeCell ref="A10:B10"/>
    <mergeCell ref="AI186:AJ186"/>
    <mergeCell ref="BI98:BK98"/>
    <mergeCell ref="AM184:AO184"/>
    <mergeCell ref="M121:Q121"/>
    <mergeCell ref="AE49:AF49"/>
    <mergeCell ref="AP159:AQ159"/>
    <mergeCell ref="AU93:AV93"/>
    <mergeCell ref="AW155:AX155"/>
    <mergeCell ref="BA7:BC7"/>
    <mergeCell ref="AI57:AJ57"/>
    <mergeCell ref="BF108:BH108"/>
    <mergeCell ref="M131:Q131"/>
    <mergeCell ref="AE163:AF163"/>
    <mergeCell ref="AP47:AQ47"/>
    <mergeCell ref="AM2:AN2"/>
    <mergeCell ref="AE76:AF76"/>
    <mergeCell ref="AG138:AH138"/>
    <mergeCell ref="R75:X75"/>
    <mergeCell ref="AP161:AQ161"/>
    <mergeCell ref="Y88:AD88"/>
    <mergeCell ref="J108:L108"/>
    <mergeCell ref="AW151:AX151"/>
    <mergeCell ref="BI93:BK93"/>
    <mergeCell ref="AM179:AO179"/>
    <mergeCell ref="AM39:AO39"/>
    <mergeCell ref="R102:X102"/>
    <mergeCell ref="AG140:AH140"/>
    <mergeCell ref="AW28:AX28"/>
    <mergeCell ref="C155:F155"/>
    <mergeCell ref="AI196:AJ196"/>
    <mergeCell ref="Y90:AD90"/>
    <mergeCell ref="AP192:AQ192"/>
    <mergeCell ref="J137:L137"/>
    <mergeCell ref="AE77:AF77"/>
    <mergeCell ref="BI124:BK124"/>
    <mergeCell ref="AG11:AH11"/>
    <mergeCell ref="AR104:AT104"/>
    <mergeCell ref="C157:F157"/>
    <mergeCell ref="J109:L109"/>
    <mergeCell ref="AY117:AZ117"/>
    <mergeCell ref="AP63:AQ63"/>
    <mergeCell ref="C151:F151"/>
    <mergeCell ref="AG169:AH169"/>
    <mergeCell ref="AI198:AJ198"/>
    <mergeCell ref="G100:I100"/>
    <mergeCell ref="J139:L139"/>
    <mergeCell ref="BA69:BC69"/>
    <mergeCell ref="G94:I94"/>
    <mergeCell ref="R103:X103"/>
    <mergeCell ref="AG135:AH135"/>
    <mergeCell ref="A21:B21"/>
    <mergeCell ref="M149:Q149"/>
    <mergeCell ref="J138:L138"/>
    <mergeCell ref="A57:B57"/>
    <mergeCell ref="AP187:AQ187"/>
    <mergeCell ref="BA35:BC35"/>
    <mergeCell ref="AI110:AJ110"/>
    <mergeCell ref="G102:I102"/>
    <mergeCell ref="C152:F152"/>
    <mergeCell ref="AI199:AJ199"/>
    <mergeCell ref="A23:B23"/>
    <mergeCell ref="M151:Q151"/>
    <mergeCell ref="AW79:AX79"/>
    <mergeCell ref="AK174:AL174"/>
    <mergeCell ref="BA64:BC64"/>
    <mergeCell ref="AU165:AV165"/>
    <mergeCell ref="AM29:AO29"/>
    <mergeCell ref="AP91:AQ91"/>
    <mergeCell ref="AR155:AT155"/>
    <mergeCell ref="AM23:AO23"/>
    <mergeCell ref="AG168:AH168"/>
    <mergeCell ref="AW81:AX81"/>
    <mergeCell ref="AE95:AF95"/>
    <mergeCell ref="AG195:AH195"/>
    <mergeCell ref="AE89:AF89"/>
    <mergeCell ref="G97:I97"/>
    <mergeCell ref="Y118:AD118"/>
    <mergeCell ref="R129:X129"/>
    <mergeCell ref="AP93:AQ93"/>
    <mergeCell ref="AR157:AT157"/>
    <mergeCell ref="R121:X121"/>
    <mergeCell ref="AY145:AZ145"/>
    <mergeCell ref="AK17:AL17"/>
    <mergeCell ref="AM111:AO111"/>
    <mergeCell ref="AY139:AZ139"/>
    <mergeCell ref="AG153:AH153"/>
    <mergeCell ref="G128:I128"/>
    <mergeCell ref="AR28:AT28"/>
    <mergeCell ref="R131:X131"/>
    <mergeCell ref="AE90:AF90"/>
    <mergeCell ref="AP118:AQ118"/>
    <mergeCell ref="A110:B110"/>
    <mergeCell ref="AY147:AZ147"/>
    <mergeCell ref="C170:F170"/>
    <mergeCell ref="G121:I121"/>
    <mergeCell ref="AG65:AH65"/>
    <mergeCell ref="AU35:AV35"/>
    <mergeCell ref="M79:Q79"/>
    <mergeCell ref="AR30:AT30"/>
    <mergeCell ref="M73:Q73"/>
    <mergeCell ref="BI33:BK33"/>
    <mergeCell ref="AP117:AQ117"/>
    <mergeCell ref="AY140:AZ140"/>
    <mergeCell ref="AE121:AF121"/>
    <mergeCell ref="AU34:AV34"/>
    <mergeCell ref="J193:L193"/>
    <mergeCell ref="BF180:BH180"/>
    <mergeCell ref="BI41:BK41"/>
    <mergeCell ref="BI35:BK35"/>
    <mergeCell ref="AP119:AQ119"/>
    <mergeCell ref="AR183:AT183"/>
    <mergeCell ref="AE123:AF123"/>
    <mergeCell ref="AU36:AV36"/>
    <mergeCell ref="BI51:BK51"/>
    <mergeCell ref="AG179:AH179"/>
    <mergeCell ref="M74:Q74"/>
    <mergeCell ref="AW92:AX92"/>
    <mergeCell ref="BD88:BE88"/>
    <mergeCell ref="BF182:BH182"/>
    <mergeCell ref="AR54:AT54"/>
    <mergeCell ref="AK187:AL187"/>
    <mergeCell ref="AR185:AT185"/>
    <mergeCell ref="R149:X149"/>
    <mergeCell ref="C196:F196"/>
    <mergeCell ref="AW94:AX94"/>
    <mergeCell ref="Y162:AD162"/>
    <mergeCell ref="BA110:BC110"/>
    <mergeCell ref="AR56:AT56"/>
    <mergeCell ref="AY69:AZ69"/>
    <mergeCell ref="R142:X142"/>
    <mergeCell ref="C198:F198"/>
    <mergeCell ref="AY158:AZ158"/>
    <mergeCell ref="R55:X55"/>
    <mergeCell ref="A121:B121"/>
    <mergeCell ref="Y164:AD164"/>
    <mergeCell ref="BI67:BK67"/>
    <mergeCell ref="M63:Q63"/>
    <mergeCell ref="G166:I166"/>
    <mergeCell ref="BI61:BK61"/>
    <mergeCell ref="BA135:BC135"/>
    <mergeCell ref="R144:X144"/>
    <mergeCell ref="AY193:AZ193"/>
    <mergeCell ref="Y157:AD157"/>
    <mergeCell ref="BI69:BK69"/>
    <mergeCell ref="BF24:BH24"/>
    <mergeCell ref="M92:Q92"/>
    <mergeCell ref="AP130:AQ130"/>
    <mergeCell ref="R200:X200"/>
    <mergeCell ref="AE159:AF159"/>
    <mergeCell ref="AE134:AF134"/>
    <mergeCell ref="G167:I167"/>
    <mergeCell ref="BI62:BK62"/>
    <mergeCell ref="Y188:AD188"/>
    <mergeCell ref="BA136:BC136"/>
    <mergeCell ref="AE47:AF47"/>
    <mergeCell ref="BF53:BH53"/>
    <mergeCell ref="R71:X71"/>
    <mergeCell ref="AP132:AQ132"/>
    <mergeCell ref="AR196:AT196"/>
    <mergeCell ref="BD12:BE12"/>
    <mergeCell ref="BI64:BK64"/>
    <mergeCell ref="Y190:AD190"/>
    <mergeCell ref="G192:I192"/>
    <mergeCell ref="R73:X73"/>
    <mergeCell ref="AW24:AX24"/>
    <mergeCell ref="AG111:AH111"/>
    <mergeCell ref="R195:X195"/>
    <mergeCell ref="AW18:AX18"/>
    <mergeCell ref="AR198:AT198"/>
    <mergeCell ref="AP188:AQ188"/>
    <mergeCell ref="BD14:BE14"/>
    <mergeCell ref="AI27:AJ27"/>
    <mergeCell ref="Y61:AD61"/>
    <mergeCell ref="Y183:AD183"/>
    <mergeCell ref="G63:I63"/>
    <mergeCell ref="J46:L46"/>
    <mergeCell ref="Z3:AD3"/>
    <mergeCell ref="BF50:BH50"/>
    <mergeCell ref="Y175:AD175"/>
    <mergeCell ref="BD13:BE13"/>
    <mergeCell ref="AW26:AX26"/>
    <mergeCell ref="AW148:AX148"/>
    <mergeCell ref="R197:X197"/>
    <mergeCell ref="AY82:AZ82"/>
    <mergeCell ref="AR110:AT110"/>
    <mergeCell ref="Y185:AD185"/>
    <mergeCell ref="AK85:AL85"/>
    <mergeCell ref="BI122:BK122"/>
    <mergeCell ref="J48:L48"/>
    <mergeCell ref="A17:B17"/>
    <mergeCell ref="AG106:AH106"/>
    <mergeCell ref="M120:Q120"/>
    <mergeCell ref="BD15:BE15"/>
    <mergeCell ref="C121:F121"/>
    <mergeCell ref="M145:Q145"/>
    <mergeCell ref="A53:B53"/>
    <mergeCell ref="Y56:AD56"/>
    <mergeCell ref="BA154:BC154"/>
    <mergeCell ref="AP183:AQ183"/>
    <mergeCell ref="BA58:BC58"/>
    <mergeCell ref="A19:B19"/>
    <mergeCell ref="M147:Q147"/>
    <mergeCell ref="AW165:AX165"/>
    <mergeCell ref="J136:L136"/>
    <mergeCell ref="AP185:AQ185"/>
    <mergeCell ref="AW181:AX181"/>
    <mergeCell ref="BA60:BC60"/>
    <mergeCell ref="AU102:AV102"/>
    <mergeCell ref="AR97:AT97"/>
    <mergeCell ref="BE3:BF3"/>
    <mergeCell ref="A48:B48"/>
    <mergeCell ref="AP56:AQ56"/>
    <mergeCell ref="AW52:AX52"/>
    <mergeCell ref="BA149:BC149"/>
    <mergeCell ref="AY108:AZ108"/>
    <mergeCell ref="AW166:AX166"/>
    <mergeCell ref="AI38:AJ38"/>
    <mergeCell ref="AR128:AT128"/>
    <mergeCell ref="BD156:BE156"/>
    <mergeCell ref="AE59:AF59"/>
    <mergeCell ref="BA151:BC151"/>
    <mergeCell ref="AP186:AQ186"/>
    <mergeCell ref="AG193:AH193"/>
    <mergeCell ref="AU103:AV103"/>
    <mergeCell ref="AK13:AL13"/>
    <mergeCell ref="A79:B79"/>
    <mergeCell ref="AW37:AX37"/>
    <mergeCell ref="BD33:BE33"/>
    <mergeCell ref="AM20:AO20"/>
    <mergeCell ref="G124:I124"/>
    <mergeCell ref="AI40:AJ40"/>
    <mergeCell ref="AM196:AO196"/>
    <mergeCell ref="AW47:AX47"/>
    <mergeCell ref="AY109:AZ109"/>
    <mergeCell ref="BI133:BK133"/>
    <mergeCell ref="AK15:AL15"/>
    <mergeCell ref="BF63:BH63"/>
    <mergeCell ref="A37:B37"/>
    <mergeCell ref="AR123:AT123"/>
    <mergeCell ref="Y198:AD198"/>
    <mergeCell ref="AK104:AL104"/>
    <mergeCell ref="BI135:BK135"/>
    <mergeCell ref="M158:Q158"/>
    <mergeCell ref="Y100:AD100"/>
    <mergeCell ref="BD28:BE28"/>
    <mergeCell ref="G119:I119"/>
    <mergeCell ref="AP196:AQ196"/>
    <mergeCell ref="AW192:AX192"/>
    <mergeCell ref="M168:Q168"/>
    <mergeCell ref="AK10:AL10"/>
    <mergeCell ref="AE119:AF119"/>
    <mergeCell ref="M160:Q160"/>
    <mergeCell ref="AG175:AH175"/>
    <mergeCell ref="AW63:AX63"/>
    <mergeCell ref="AP198:AQ198"/>
    <mergeCell ref="BD84:BE84"/>
    <mergeCell ref="AW194:AX194"/>
    <mergeCell ref="Y125:AD125"/>
    <mergeCell ref="BA73:BC73"/>
    <mergeCell ref="AR181:AT181"/>
    <mergeCell ref="AE112:AF112"/>
    <mergeCell ref="AM38:AO38"/>
    <mergeCell ref="R145:X145"/>
    <mergeCell ref="AE148:AF148"/>
    <mergeCell ref="AG177:AH177"/>
    <mergeCell ref="C192:F192"/>
    <mergeCell ref="A63:B63"/>
    <mergeCell ref="BD86:BE86"/>
    <mergeCell ref="Y133:AD133"/>
    <mergeCell ref="Y127:AD127"/>
    <mergeCell ref="AK155:AL155"/>
    <mergeCell ref="AE114:AF114"/>
    <mergeCell ref="AG176:AH176"/>
    <mergeCell ref="AM40:AO40"/>
    <mergeCell ref="R147:X147"/>
    <mergeCell ref="M184:Q184"/>
    <mergeCell ref="BD79:BE79"/>
    <mergeCell ref="C194:F194"/>
    <mergeCell ref="A92:B92"/>
    <mergeCell ref="AK157:AL157"/>
    <mergeCell ref="G137:I137"/>
    <mergeCell ref="R140:X140"/>
    <mergeCell ref="AE143:AF143"/>
    <mergeCell ref="AY164:AZ164"/>
    <mergeCell ref="AU58:AV58"/>
    <mergeCell ref="BD81:BE81"/>
    <mergeCell ref="Y128:AD128"/>
    <mergeCell ref="BI146:BK146"/>
    <mergeCell ref="A119:B119"/>
    <mergeCell ref="AK28:AL28"/>
    <mergeCell ref="A94:B94"/>
    <mergeCell ref="AK150:AL150"/>
    <mergeCell ref="J175:L175"/>
    <mergeCell ref="AR167:AT167"/>
    <mergeCell ref="G139:I139"/>
    <mergeCell ref="C189:F189"/>
    <mergeCell ref="AU60:AV60"/>
    <mergeCell ref="BF147:BH147"/>
    <mergeCell ref="AW116:AX116"/>
    <mergeCell ref="AE130:AF130"/>
    <mergeCell ref="AK30:AL30"/>
    <mergeCell ref="C34:F34"/>
    <mergeCell ref="BA101:BC101"/>
    <mergeCell ref="AE160:AF160"/>
    <mergeCell ref="G168:I168"/>
    <mergeCell ref="AP128:AQ128"/>
    <mergeCell ref="AR192:AT192"/>
    <mergeCell ref="AW124:AX124"/>
    <mergeCell ref="AW118:AX118"/>
    <mergeCell ref="AU45:AV45"/>
    <mergeCell ref="BI60:BK60"/>
    <mergeCell ref="AE132:AF132"/>
    <mergeCell ref="AY180:AZ180"/>
    <mergeCell ref="AM6:AO6"/>
    <mergeCell ref="AG48:AH48"/>
    <mergeCell ref="BF51:BH51"/>
    <mergeCell ref="AU55:AV55"/>
    <mergeCell ref="AW117:AX117"/>
    <mergeCell ref="AR194:AT194"/>
    <mergeCell ref="J18:L18"/>
    <mergeCell ref="AR200:AT200"/>
    <mergeCell ref="C29:F29"/>
    <mergeCell ref="R158:X158"/>
    <mergeCell ref="M28:Q28"/>
    <mergeCell ref="AE161:AF161"/>
    <mergeCell ref="M85:Q85"/>
    <mergeCell ref="AY182:AZ182"/>
    <mergeCell ref="C65:F65"/>
    <mergeCell ref="J17:L17"/>
    <mergeCell ref="BD99:BE99"/>
    <mergeCell ref="AI112:AJ112"/>
    <mergeCell ref="R193:X193"/>
    <mergeCell ref="R168:X168"/>
    <mergeCell ref="AW119:AX119"/>
    <mergeCell ref="AE127:AF127"/>
    <mergeCell ref="Y181:AD181"/>
    <mergeCell ref="C31:F31"/>
    <mergeCell ref="A147:B147"/>
    <mergeCell ref="AK56:AL56"/>
    <mergeCell ref="R160:X160"/>
    <mergeCell ref="AU200:AV200"/>
    <mergeCell ref="AG102:AH102"/>
    <mergeCell ref="Z1:AD1"/>
    <mergeCell ref="J19:L19"/>
    <mergeCell ref="BD101:BE101"/>
    <mergeCell ref="AW134:AX134"/>
    <mergeCell ref="AK170:AL170"/>
    <mergeCell ref="G194:I194"/>
    <mergeCell ref="AR195:AT195"/>
    <mergeCell ref="AY177:AZ177"/>
    <mergeCell ref="AU71:AV71"/>
    <mergeCell ref="C60:F60"/>
    <mergeCell ref="BD94:BE94"/>
    <mergeCell ref="G160:I160"/>
    <mergeCell ref="M118:Q118"/>
    <mergeCell ref="BF77:BH77"/>
    <mergeCell ref="BI78:BK78"/>
    <mergeCell ref="BI200:BK200"/>
    <mergeCell ref="A148:B148"/>
    <mergeCell ref="AU73:AV73"/>
    <mergeCell ref="R184:X184"/>
    <mergeCell ref="AE187:AF187"/>
    <mergeCell ref="M111:Q111"/>
    <mergeCell ref="BD125:BE125"/>
    <mergeCell ref="BA145:BC145"/>
    <mergeCell ref="AM148:AO148"/>
    <mergeCell ref="AI9:AJ9"/>
    <mergeCell ref="BD152:BE152"/>
    <mergeCell ref="Y199:AD199"/>
    <mergeCell ref="AY53:AZ53"/>
    <mergeCell ref="C49:F49"/>
    <mergeCell ref="BA147:BC147"/>
    <mergeCell ref="R179:X179"/>
    <mergeCell ref="AI36:AJ36"/>
    <mergeCell ref="AE5:AF6"/>
    <mergeCell ref="C42:F42"/>
    <mergeCell ref="A158:B158"/>
    <mergeCell ref="BF59:BH59"/>
    <mergeCell ref="AW132:AX132"/>
    <mergeCell ref="AR119:AT119"/>
    <mergeCell ref="BD147:BE147"/>
    <mergeCell ref="AK100:AL100"/>
    <mergeCell ref="Y194:AD194"/>
    <mergeCell ref="A160:B160"/>
    <mergeCell ref="AY107:AZ107"/>
    <mergeCell ref="BI106:BK106"/>
    <mergeCell ref="BD24:BE24"/>
    <mergeCell ref="BF88:BH88"/>
    <mergeCell ref="AI31:AJ31"/>
    <mergeCell ref="AU126:AV126"/>
    <mergeCell ref="A159:B159"/>
    <mergeCell ref="AW188:AX188"/>
    <mergeCell ref="BA173:BC173"/>
    <mergeCell ref="AK6:AL6"/>
    <mergeCell ref="A72:B72"/>
    <mergeCell ref="C75:F75"/>
    <mergeCell ref="AU3:AV3"/>
    <mergeCell ref="J88:L88"/>
    <mergeCell ref="BF90:BH90"/>
    <mergeCell ref="AK95:AL95"/>
    <mergeCell ref="AM159:AO159"/>
    <mergeCell ref="A161:B161"/>
    <mergeCell ref="AW190:AX190"/>
    <mergeCell ref="BI101:BK101"/>
    <mergeCell ref="BA158:BC158"/>
    <mergeCell ref="AW61:AX61"/>
    <mergeCell ref="J117:L117"/>
    <mergeCell ref="AM167:AO167"/>
    <mergeCell ref="AK97:AL97"/>
    <mergeCell ref="AM161:AO161"/>
    <mergeCell ref="AI64:AJ64"/>
    <mergeCell ref="BD171:BE171"/>
    <mergeCell ref="J83:L83"/>
    <mergeCell ref="BA13:BC13"/>
    <mergeCell ref="BD50:BE50"/>
    <mergeCell ref="AW185:AX185"/>
    <mergeCell ref="J119:L119"/>
    <mergeCell ref="A88:B88"/>
    <mergeCell ref="AP9:AQ9"/>
    <mergeCell ref="BD42:BE42"/>
    <mergeCell ref="J85:L85"/>
    <mergeCell ref="A54:B54"/>
    <mergeCell ref="M182:Q182"/>
    <mergeCell ref="BA15:BC15"/>
    <mergeCell ref="BD52:BE52"/>
    <mergeCell ref="BD77:BE77"/>
    <mergeCell ref="BA191:BC191"/>
    <mergeCell ref="A90:B90"/>
    <mergeCell ref="AK113:AL113"/>
    <mergeCell ref="A56:B56"/>
    <mergeCell ref="BA184:BC184"/>
    <mergeCell ref="AK148:AL148"/>
    <mergeCell ref="AI50:AJ50"/>
    <mergeCell ref="AU145:AV145"/>
    <mergeCell ref="AG17:AH17"/>
    <mergeCell ref="AU139:AV139"/>
    <mergeCell ref="M183:Q183"/>
    <mergeCell ref="BF20:BH20"/>
    <mergeCell ref="A85:B85"/>
    <mergeCell ref="AU16:AV16"/>
    <mergeCell ref="AG19:AH19"/>
    <mergeCell ref="BF22:BH22"/>
    <mergeCell ref="AI75:AJ75"/>
    <mergeCell ref="AM91:AO91"/>
    <mergeCell ref="AU140:AV140"/>
    <mergeCell ref="M24:Q24"/>
    <mergeCell ref="J13:L13"/>
    <mergeCell ref="BD70:BE70"/>
    <mergeCell ref="AM93:AO93"/>
    <mergeCell ref="BI170:BK170"/>
    <mergeCell ref="C27:F27"/>
    <mergeCell ref="M53:Q53"/>
    <mergeCell ref="BD63:BE63"/>
    <mergeCell ref="J15:L15"/>
    <mergeCell ref="AR160:AT160"/>
    <mergeCell ref="AK166:AL166"/>
    <mergeCell ref="G190:I190"/>
    <mergeCell ref="BI172:BK172"/>
    <mergeCell ref="BA28:BC28"/>
    <mergeCell ref="M55:Q55"/>
    <mergeCell ref="BD90:BE90"/>
    <mergeCell ref="AI103:AJ103"/>
    <mergeCell ref="AU173:AV173"/>
    <mergeCell ref="AK168:AL168"/>
    <mergeCell ref="BI171:BK171"/>
    <mergeCell ref="AK9:AL9"/>
    <mergeCell ref="AK47:AL47"/>
    <mergeCell ref="M48:Q48"/>
    <mergeCell ref="AU44:AV44"/>
    <mergeCell ref="AR34:AT34"/>
    <mergeCell ref="BA30:BC30"/>
    <mergeCell ref="BF156:BH156"/>
    <mergeCell ref="BF162:BH162"/>
    <mergeCell ref="AG72:AH72"/>
    <mergeCell ref="BD121:BE121"/>
    <mergeCell ref="AK167:AL167"/>
    <mergeCell ref="BA116:BC116"/>
    <mergeCell ref="AU158:AV158"/>
    <mergeCell ref="AM119:AO119"/>
    <mergeCell ref="AI188:AJ188"/>
    <mergeCell ref="AM75:AO75"/>
    <mergeCell ref="AK38:AL38"/>
    <mergeCell ref="BF164:BH164"/>
    <mergeCell ref="AR36:AT36"/>
    <mergeCell ref="AE185:AF185"/>
    <mergeCell ref="BF43:BH43"/>
    <mergeCell ref="BD123:BE123"/>
    <mergeCell ref="G32:I32"/>
    <mergeCell ref="J33:L33"/>
    <mergeCell ref="AM104:AO104"/>
    <mergeCell ref="AI7:AJ7"/>
    <mergeCell ref="BD116:BE116"/>
    <mergeCell ref="AI129:AJ129"/>
    <mergeCell ref="M37:Q37"/>
    <mergeCell ref="AY51:AZ51"/>
    <mergeCell ref="AK63:AL63"/>
    <mergeCell ref="AK194:AL194"/>
    <mergeCell ref="R177:X177"/>
    <mergeCell ref="AM106:AO106"/>
    <mergeCell ref="BF188:BH188"/>
    <mergeCell ref="BD118:BE118"/>
    <mergeCell ref="AI131:AJ131"/>
    <mergeCell ref="C40:F40"/>
    <mergeCell ref="BI43:BK43"/>
    <mergeCell ref="Y165:AD165"/>
    <mergeCell ref="AU184:AV184"/>
    <mergeCell ref="G27:I27"/>
    <mergeCell ref="J28:L28"/>
    <mergeCell ref="AK37:AL37"/>
    <mergeCell ref="AI2:AJ2"/>
    <mergeCell ref="M38:Q38"/>
    <mergeCell ref="A155:B155"/>
    <mergeCell ref="BF190:BH190"/>
    <mergeCell ref="AE27:AF27"/>
    <mergeCell ref="AK189:AL189"/>
    <mergeCell ref="C71:F71"/>
    <mergeCell ref="J30:L30"/>
    <mergeCell ref="BF61:BH61"/>
    <mergeCell ref="BI184:BK184"/>
    <mergeCell ref="A157:B157"/>
    <mergeCell ref="AK66:AL66"/>
    <mergeCell ref="AM130:AO130"/>
    <mergeCell ref="R17:X17"/>
    <mergeCell ref="AE20:AF20"/>
    <mergeCell ref="BI97:BK97"/>
    <mergeCell ref="AE196:AF196"/>
    <mergeCell ref="R53:X53"/>
    <mergeCell ref="AY77:AZ77"/>
    <mergeCell ref="AY33:AZ33"/>
    <mergeCell ref="AG85:AH85"/>
    <mergeCell ref="BD134:BE134"/>
    <mergeCell ref="AK93:AL93"/>
    <mergeCell ref="AM132:AO132"/>
    <mergeCell ref="AM157:AO157"/>
    <mergeCell ref="AI60:AJ60"/>
    <mergeCell ref="R46:X46"/>
    <mergeCell ref="C66:F66"/>
    <mergeCell ref="AE198:AF198"/>
    <mergeCell ref="AR49:AT49"/>
    <mergeCell ref="Y7:AD7"/>
    <mergeCell ref="Y34:AD34"/>
    <mergeCell ref="J54:L54"/>
    <mergeCell ref="C102:F102"/>
    <mergeCell ref="AI149:AJ149"/>
    <mergeCell ref="G45:I45"/>
    <mergeCell ref="R48:X48"/>
    <mergeCell ref="C68:F68"/>
    <mergeCell ref="AG80:AH80"/>
    <mergeCell ref="AI142:AJ142"/>
    <mergeCell ref="J56:L56"/>
    <mergeCell ref="BD48:BE48"/>
    <mergeCell ref="AI55:AJ55"/>
    <mergeCell ref="AK117:AL117"/>
    <mergeCell ref="G47:I47"/>
    <mergeCell ref="AU108:AV108"/>
    <mergeCell ref="AP34:AQ34"/>
    <mergeCell ref="C97:F97"/>
    <mergeCell ref="R79:X79"/>
    <mergeCell ref="A175:B175"/>
    <mergeCell ref="AY59:AZ59"/>
    <mergeCell ref="AE38:AF38"/>
    <mergeCell ref="J110:L110"/>
    <mergeCell ref="G46:I46"/>
    <mergeCell ref="BF114:BH114"/>
    <mergeCell ref="G40:I40"/>
    <mergeCell ref="AK119:AL119"/>
    <mergeCell ref="AI46:AJ46"/>
    <mergeCell ref="A185:B185"/>
    <mergeCell ref="AG13:AH13"/>
    <mergeCell ref="AP36:AQ36"/>
    <mergeCell ref="R37:X37"/>
    <mergeCell ref="AE40:AF40"/>
    <mergeCell ref="AY88:AZ88"/>
    <mergeCell ref="J141:L141"/>
    <mergeCell ref="AU109:AV109"/>
    <mergeCell ref="AM185:AO185"/>
    <mergeCell ref="AG15:AH15"/>
    <mergeCell ref="A170:B170"/>
    <mergeCell ref="AR102:AT102"/>
    <mergeCell ref="AY54:AZ54"/>
    <mergeCell ref="AM62:AO62"/>
    <mergeCell ref="AY90:AZ90"/>
    <mergeCell ref="AG104:AH104"/>
    <mergeCell ref="AM56:AO56"/>
    <mergeCell ref="AU136:AV136"/>
    <mergeCell ref="AG8:AH8"/>
    <mergeCell ref="Y54:AD54"/>
    <mergeCell ref="AM176:AO176"/>
    <mergeCell ref="BD188:BE188"/>
    <mergeCell ref="AI73:AJ73"/>
    <mergeCell ref="AE94:AF94"/>
    <mergeCell ref="AG10:AH10"/>
    <mergeCell ref="BD59:BE59"/>
    <mergeCell ref="BD190:BE190"/>
    <mergeCell ref="AP62:AQ62"/>
    <mergeCell ref="AM57:AO57"/>
    <mergeCell ref="AK137:AL137"/>
    <mergeCell ref="J100:L100"/>
    <mergeCell ref="AP54:AQ54"/>
    <mergeCell ref="J94:L94"/>
    <mergeCell ref="BA24:BC24"/>
    <mergeCell ref="BD61:BE61"/>
    <mergeCell ref="AI74:AJ74"/>
    <mergeCell ref="BF125:BH125"/>
    <mergeCell ref="AK130:AL130"/>
    <mergeCell ref="A196:B196"/>
    <mergeCell ref="AP64:AQ64"/>
    <mergeCell ref="AG155:AH155"/>
    <mergeCell ref="BA26:BC26"/>
    <mergeCell ref="J125:L125"/>
    <mergeCell ref="BA53:BC53"/>
    <mergeCell ref="BF127:BH127"/>
    <mergeCell ref="AK132:AL132"/>
    <mergeCell ref="A198:B198"/>
    <mergeCell ref="BI169:BK169"/>
    <mergeCell ref="AG157:AH157"/>
    <mergeCell ref="AU164:AV164"/>
    <mergeCell ref="AR32:AT32"/>
    <mergeCell ref="Y107:AD107"/>
    <mergeCell ref="J154:L154"/>
    <mergeCell ref="AM198:AO198"/>
    <mergeCell ref="AY20:AZ20"/>
    <mergeCell ref="C16:F16"/>
    <mergeCell ref="AG28:AH28"/>
    <mergeCell ref="AG150:AH150"/>
    <mergeCell ref="AG186:AH186"/>
    <mergeCell ref="C168:F168"/>
    <mergeCell ref="J120:L120"/>
    <mergeCell ref="BA50:BC50"/>
    <mergeCell ref="AU193:AV193"/>
    <mergeCell ref="C9:F9"/>
    <mergeCell ref="BI12:BK12"/>
    <mergeCell ref="G117:I117"/>
    <mergeCell ref="A125:B125"/>
    <mergeCell ref="J156:L156"/>
    <mergeCell ref="AM110:AO110"/>
    <mergeCell ref="AG30:AH30"/>
    <mergeCell ref="AI92:AJ92"/>
    <mergeCell ref="AG152:AH152"/>
    <mergeCell ref="C167:F167"/>
    <mergeCell ref="AR27:AT27"/>
    <mergeCell ref="Y102:AD102"/>
    <mergeCell ref="AK8:AL8"/>
    <mergeCell ref="J155:L155"/>
    <mergeCell ref="BA52:BC52"/>
    <mergeCell ref="AY15:AZ15"/>
    <mergeCell ref="C11:F11"/>
    <mergeCell ref="BI39:BK39"/>
    <mergeCell ref="AG23:AH23"/>
    <mergeCell ref="AU180:AV180"/>
    <mergeCell ref="C169:F169"/>
  </mergeCells>
  <conditionalFormatting sqref="AI7:AI200">
    <cfRule type="cellIs" priority="1" operator="equal" dxfId="0">
      <formula>"Pass"</formula>
    </cfRule>
    <cfRule type="cellIs" priority="2" operator="equal" dxfId="1">
      <formula>"Fail"</formula>
    </cfRule>
    <cfRule type="cellIs" priority="3" operator="equal" dxfId="2">
      <formula>"Pending"</formula>
    </cfRule>
    <cfRule type="cellIs" priority="4" operator="equal" dxfId="3">
      <formula>"N/A"</formula>
    </cfRule>
  </conditionalFormatting>
  <conditionalFormatting sqref="AW7:AW200">
    <cfRule type="cellIs" priority="5" operator="equal" dxfId="0">
      <formula>"Pass"</formula>
    </cfRule>
    <cfRule type="cellIs" priority="6" operator="equal" dxfId="1">
      <formula>"Fail"</formula>
    </cfRule>
    <cfRule type="cellIs" priority="7" operator="equal" dxfId="2">
      <formula>"Pending"</formula>
    </cfRule>
    <cfRule type="cellIs" priority="8" operator="equal" dxfId="3">
      <formula>"N/A"</formula>
    </cfRule>
  </conditionalFormatting>
  <dataValidations count="3">
    <dataValidation sqref="AE7:AE200" showDropDown="0" showInputMessage="0" showErrorMessage="0" allowBlank="1" type="list">
      <formula1>"N,A,B"</formula1>
    </dataValidation>
    <dataValidation sqref="AI7:AI200" showDropDown="0" showInputMessage="0" showErrorMessage="0" allowBlank="1" type="list">
      <formula1>"Pass,Fail,N/A,Pending"</formula1>
    </dataValidation>
    <dataValidation sqref="AW7:AW200" showDropDown="0" showInputMessage="0" showErrorMessage="0" allowBlank="1" type="list">
      <formula1>"Pass,Fail,N/A,Pending"</formula1>
    </dataValidation>
  </dataValidations>
  <pageMargins left="0.75" right="0.75" top="1" bottom="1" header="0.5" footer="0.5"/>
  <pageSetup orientation="landscape" fitToHeight="0" fitToWidth="1"/>
  <headerFooter>
    <oddHeader>&amp;L&amp;"Meiryo"&amp;9 文書名：TC-IT-HOST-01 テストケース — タブレットPOS ホストデバイス制御 デバイス戦略・OPOS連携 結合テスト&amp;C&amp;"Meiryo"&amp;9 作成者：VTI-SAM　図番：-&amp;R&amp;"Meiryo"&amp;9 更新日：2026/06/21</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2026-06-21T11:16:39Z</dcterms:created>
  <dcterms:modified xsi:type="dcterms:W3CDTF">2026-06-21T11:16:41Z</dcterms:modified>
</cp:coreProperties>
</file>